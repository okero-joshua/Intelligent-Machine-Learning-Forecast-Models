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8"/>
  <workbookPr/>
  <mc:AlternateContent xmlns:mc="http://schemas.openxmlformats.org/markup-compatibility/2006">
    <mc:Choice Requires="x15">
      <x15ac:absPath xmlns:x15ac="http://schemas.microsoft.com/office/spreadsheetml/2010/11/ac" url="/Users/nicoleal-sabah/Library/CloudStorage/GoogleDrive-nalsabah@csumb.edu/My Drive/CST489:499 Capstone/DKODE Capstone Project/"/>
    </mc:Choice>
  </mc:AlternateContent>
  <xr:revisionPtr revIDLastSave="0" documentId="8_{84AC9A6E-3216-445C-947A-43F325AEE8F2}" xr6:coauthVersionLast="47" xr6:coauthVersionMax="47" xr10:uidLastSave="{00000000-0000-0000-0000-000000000000}"/>
  <bookViews>
    <workbookView xWindow="1300" yWindow="1420" windowWidth="27500" windowHeight="14680" activeTab="7" xr2:uid="{00000000-000D-0000-FFFF-FFFF00000000}"/>
  </bookViews>
  <sheets>
    <sheet name="Summary (6 Months)" sheetId="1" r:id="rId1"/>
    <sheet name="Summary (12 Months)" sheetId="20" r:id="rId2"/>
    <sheet name="Best Features" sheetId="23" r:id="rId3"/>
    <sheet name="6 Months vs 12 Months Results" sheetId="2" r:id="rId4"/>
    <sheet name="6 Months vs 12 Months Forecast" sheetId="19" r:id="rId5"/>
    <sheet name="extra_tree (6 Months) " sheetId="21" r:id="rId6"/>
    <sheet name="extra_tree (12 Months)" sheetId="3" r:id="rId7"/>
    <sheet name="2025 Forecast vs Actual Qty" sheetId="22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22" l="1"/>
  <c r="J2" i="22"/>
  <c r="F2" i="22"/>
  <c r="G2" i="22"/>
  <c r="G3" i="19"/>
  <c r="G4" i="19"/>
  <c r="G5" i="19"/>
  <c r="G6" i="19"/>
  <c r="G7" i="19"/>
  <c r="G2" i="19"/>
</calcChain>
</file>

<file path=xl/sharedStrings.xml><?xml version="1.0" encoding="utf-8"?>
<sst xmlns="http://schemas.openxmlformats.org/spreadsheetml/2006/main" count="167" uniqueCount="117">
  <si>
    <t xml:space="preserve">    Forecasting Experiment Summary (6 Months)</t>
  </si>
  <si>
    <t>Experiment:</t>
  </si>
  <si>
    <t>Forecast_BestFeatures_CurrentQtyData_6_Months_v4_NA</t>
  </si>
  <si>
    <t>Notebook:</t>
  </si>
  <si>
    <t>Model:</t>
  </si>
  <si>
    <t xml:space="preserve">Dataset Used: </t>
  </si>
  <si>
    <t>forecast_best_features_new_qty_data_2015-2025_v2.csv</t>
  </si>
  <si>
    <t xml:space="preserve">Table Used: </t>
  </si>
  <si>
    <t>forecast_best_features_new_qty_data_2015-2025_v2</t>
  </si>
  <si>
    <t>Date Range for Data:</t>
  </si>
  <si>
    <t>12-01-2014 to 05-01-2025</t>
  </si>
  <si>
    <t>NOTE: Date range was due to Target Column 'Total_Quantity' having data date range 12/02/2014 - 06/30/2025. 
CSV: 2015-2025 Qty.csv
Column Used for Target: Quantity Invoiced</t>
  </si>
  <si>
    <t>Forecast Horizon:</t>
  </si>
  <si>
    <t>6 Months</t>
  </si>
  <si>
    <t xml:space="preserve">Prediction Frequency: </t>
  </si>
  <si>
    <t>Monthly</t>
  </si>
  <si>
    <t>Runtime Duration:</t>
  </si>
  <si>
    <t>time_budget = 1200 seconds = 20 min (Total Duration: 42 min)</t>
  </si>
  <si>
    <t>Model Successfully Run:</t>
  </si>
  <si>
    <t>Extremely Randomized Trees (extra_tree)</t>
  </si>
  <si>
    <t>Forecasting Experiment Summary (12 Months)</t>
  </si>
  <si>
    <t>Forecast_BestFeatures_CurrentQtyData_12_Months_v3_NA</t>
  </si>
  <si>
    <t>12 Months</t>
  </si>
  <si>
    <t>time_budget = 1200 seconds = 20 min (Total Duration: 36 min)</t>
  </si>
  <si>
    <t>Extremely Randomized Trees</t>
  </si>
  <si>
    <t>Best Features</t>
  </si>
  <si>
    <t>Importance Score</t>
  </si>
  <si>
    <t>Data Date Range</t>
  </si>
  <si>
    <t>Dataset Path</t>
  </si>
  <si>
    <t>Notes</t>
  </si>
  <si>
    <t>USD to EUR Exchange Rate</t>
  </si>
  <si>
    <t>01/01/1999 - 06/01/2025</t>
  </si>
  <si>
    <t>/lakehouse/default/Files/forecasting/userProvidedData/Germany Economic data/USD to EUR historical exchange rates.csv</t>
  </si>
  <si>
    <t>CPI</t>
  </si>
  <si>
    <t>01/01/1991 - 12/01/2025</t>
  </si>
  <si>
    <t>/lakehouse/default/Files/forecasting/userProvidedData/Germany Economic data/CPI_Monthly_2020Base_Germany.csv</t>
  </si>
  <si>
    <t>This dataset has forecasted months in the dataset for 06/01/2025 - 12/01/2025. Shows the same CPI value for this date range.</t>
  </si>
  <si>
    <t>HICP</t>
  </si>
  <si>
    <t>01/01/1997 - 12/01/2025</t>
  </si>
  <si>
    <t>/lakehouse/default/Files/forecasting/userProvidedData/Germany Economic data/hicp_data.csv</t>
  </si>
  <si>
    <t>This dataset has forecasted months in the dataset for 06/01/2025 - 12/01/2025. Shows the same HICP value for this date range.</t>
  </si>
  <si>
    <t>Global Supply Chain Pressure Index</t>
  </si>
  <si>
    <t>01/31/1998 - 05/31/2025</t>
  </si>
  <si>
    <t>/lakehouse/default/Files/forecasting/userProvidedData/Germany Economic data/Global Supply Chain Pressure Index (GSCPI) - updated.csv</t>
  </si>
  <si>
    <t>Crude Oil Brent Europe Price in EUR</t>
  </si>
  <si>
    <t>05/01/1987 - 06/01/2025</t>
  </si>
  <si>
    <t>/lakehouse/default/Files/forecasting/userProvidedData/Germany Economic data/Crude Oil.csv</t>
  </si>
  <si>
    <t xml:space="preserve">volume_index </t>
  </si>
  <si>
    <t>12/01/2009 - 12/01/2025</t>
  </si>
  <si>
    <t>/lakehouse/default/Files/forecasting/userProvidedData/Germany Economic data/new_manufacturing_orders_v2.csv</t>
  </si>
  <si>
    <t>This dataset has forecasted months in the dataset for 04/01/2025 - 12/01/2025. Shows the same volume_index value for this date range.</t>
  </si>
  <si>
    <t xml:space="preserve">Net Order Value USD </t>
  </si>
  <si>
    <t>01/05/2015 - 03/09/2015</t>
  </si>
  <si>
    <t>/lakehouse/default/Files/Orders by Created Date Past 10 Years.csv</t>
  </si>
  <si>
    <t>This dataset was NOT included in the 6 and 12 month runs due to limitation of dataset date range.</t>
  </si>
  <si>
    <t>Ran Updated Notebook:</t>
  </si>
  <si>
    <t>Germany external factors_ Correlation Analysis (2015 - 2024)_Updated_NA</t>
  </si>
  <si>
    <t>Original Notebook from Arya:</t>
  </si>
  <si>
    <t>Germany external factors_ Correlation Analysis (2015 - 2024)_Original</t>
  </si>
  <si>
    <t>Formal Name</t>
  </si>
  <si>
    <t>AutoML Name</t>
  </si>
  <si>
    <t>Validation Loss</t>
  </si>
  <si>
    <t>MAPE</t>
  </si>
  <si>
    <t>Trial Time</t>
  </si>
  <si>
    <t>R2 Score</t>
  </si>
  <si>
    <t>Extremely Randomized Trees (6 Months)</t>
  </si>
  <si>
    <t>extra_tree</t>
  </si>
  <si>
    <t>Extremely Randomized Trees (12 Months)</t>
  </si>
  <si>
    <t>Date (6 months)</t>
  </si>
  <si>
    <t>Forecasted_Quantity (6 Months)</t>
  </si>
  <si>
    <t>Raw Prediction Numbers (6 Months)</t>
  </si>
  <si>
    <t>Date (12 months)</t>
  </si>
  <si>
    <t>Forecasted_Quantity (12 Months)</t>
  </si>
  <si>
    <t>Raw Prediction Numbers (12 Months)</t>
  </si>
  <si>
    <t>6M vs 12M Prediction % Change</t>
  </si>
  <si>
    <t>2.731398e+07 </t>
  </si>
  <si>
    <t>best_validation_loss</t>
  </si>
  <si>
    <t>R² Score</t>
  </si>
  <si>
    <t>mape</t>
  </si>
  <si>
    <t>trial_time</t>
  </si>
  <si>
    <t>validation_loss</t>
  </si>
  <si>
    <t>wall_clock_time</t>
  </si>
  <si>
    <t>n_estimators</t>
  </si>
  <si>
    <t>max_features</t>
  </si>
  <si>
    <t>max_leaves</t>
  </si>
  <si>
    <t>lags</t>
  </si>
  <si>
    <t>monthly_fourier_degree</t>
  </si>
  <si>
    <t>fourier_time_features</t>
  </si>
  <si>
    <t>pca_features</t>
  </si>
  <si>
    <t>learner</t>
  </si>
  <si>
    <t>fe.selection</t>
  </si>
  <si>
    <t>fe.categorical</t>
  </si>
  <si>
    <t>fe.extraction</t>
  </si>
  <si>
    <t>best_learner</t>
  </si>
  <si>
    <t>sample_size</t>
  </si>
  <si>
    <t>cardinality</t>
  </si>
  <si>
    <t>ordinal</t>
  </si>
  <si>
    <t>PCA</t>
  </si>
  <si>
    <t>Year</t>
  </si>
  <si>
    <t>Month</t>
  </si>
  <si>
    <t>Forecasted Qty (6 Months)</t>
  </si>
  <si>
    <t>Forecasted Qty (12 Months)</t>
  </si>
  <si>
    <t>Actual Qty</t>
  </si>
  <si>
    <t>6M vs Actual Prediction % Change</t>
  </si>
  <si>
    <t>12M vs Actual Prediction % Change</t>
  </si>
  <si>
    <t>Previous Forecasted Qty (6 Months)
Dataset:
combined_sales_economic_data.csv</t>
  </si>
  <si>
    <t>Previous Forecasted Qty (12 Months)
Dataset:
combined_sales_economic_data.csv</t>
  </si>
  <si>
    <t>6M vs Actual Prediction % Change
(Previous Forecasted Qty)</t>
  </si>
  <si>
    <t>12M vs Actual Prediction % Change
(Previous Forecasted Qty)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</si>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</sst>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0.000000E+00"/>
  </numFmts>
  <fonts count="16">
    <font>
      <sz val="11"/>
      <color theme="1"/>
      <name val="Calibri"/>
      <family val="2"/>
      <scheme val="minor"/>
    </font>
    <font>
      <b/>
      <sz val="14"/>
      <name val="Calibri (Body)"/>
    </font>
    <font>
      <sz val="14"/>
      <color theme="1"/>
      <name val="Calibri (Body)"/>
    </font>
    <font>
      <b/>
      <sz val="14"/>
      <color theme="1"/>
      <name val="Calibri (Body)"/>
    </font>
    <font>
      <b/>
      <sz val="20"/>
      <name val="Calibri"/>
      <family val="2"/>
      <scheme val="minor"/>
    </font>
    <font>
      <b/>
      <sz val="14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rgb="FFFF0000"/>
      <name val="Calibri (Body)"/>
    </font>
    <font>
      <sz val="14"/>
      <color rgb="FF000000"/>
      <name val="Helvetica Neue"/>
      <charset val="1"/>
    </font>
  </fonts>
  <fills count="11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 vertical="center"/>
    </xf>
    <xf numFmtId="0" fontId="3" fillId="0" borderId="1" xfId="0" applyFont="1" applyBorder="1"/>
    <xf numFmtId="0" fontId="2" fillId="0" borderId="1" xfId="0" applyFont="1" applyBorder="1"/>
    <xf numFmtId="0" fontId="3" fillId="0" borderId="2" xfId="0" applyFont="1" applyBorder="1"/>
    <xf numFmtId="0" fontId="2" fillId="0" borderId="2" xfId="0" applyFont="1" applyBorder="1"/>
    <xf numFmtId="0" fontId="6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center" vertical="center"/>
    </xf>
    <xf numFmtId="0" fontId="6" fillId="0" borderId="14" xfId="0" applyFont="1" applyBorder="1" applyAlignment="1">
      <alignment horizontal="left" vertical="center"/>
    </xf>
    <xf numFmtId="10" fontId="6" fillId="0" borderId="6" xfId="0" applyNumberFormat="1" applyFont="1" applyBorder="1" applyAlignment="1">
      <alignment horizontal="left" vertical="center"/>
    </xf>
    <xf numFmtId="10" fontId="6" fillId="6" borderId="6" xfId="0" applyNumberFormat="1" applyFont="1" applyFill="1" applyBorder="1" applyAlignment="1">
      <alignment horizontal="left" vertical="center"/>
    </xf>
    <xf numFmtId="10" fontId="6" fillId="6" borderId="15" xfId="0" applyNumberFormat="1" applyFont="1" applyFill="1" applyBorder="1" applyAlignment="1">
      <alignment horizontal="left" vertical="center"/>
    </xf>
    <xf numFmtId="10" fontId="6" fillId="6" borderId="2" xfId="0" applyNumberFormat="1" applyFont="1" applyFill="1" applyBorder="1" applyAlignment="1">
      <alignment horizontal="left" vertical="center"/>
    </xf>
    <xf numFmtId="0" fontId="0" fillId="6" borderId="8" xfId="0" applyFill="1" applyBorder="1"/>
    <xf numFmtId="0" fontId="0" fillId="6" borderId="0" xfId="0" applyFill="1"/>
    <xf numFmtId="0" fontId="0" fillId="6" borderId="10" xfId="0" applyFill="1" applyBorder="1"/>
    <xf numFmtId="0" fontId="0" fillId="6" borderId="12" xfId="0" applyFill="1" applyBorder="1"/>
    <xf numFmtId="0" fontId="0" fillId="6" borderId="13" xfId="0" applyFill="1" applyBorder="1"/>
    <xf numFmtId="0" fontId="0" fillId="6" borderId="7" xfId="0" applyFill="1" applyBorder="1"/>
    <xf numFmtId="0" fontId="0" fillId="6" borderId="9" xfId="0" applyFill="1" applyBorder="1"/>
    <xf numFmtId="0" fontId="0" fillId="6" borderId="11" xfId="0" applyFill="1" applyBorder="1"/>
    <xf numFmtId="0" fontId="6" fillId="6" borderId="6" xfId="0" applyFont="1" applyFill="1" applyBorder="1" applyAlignment="1">
      <alignment horizontal="left" vertical="center"/>
    </xf>
    <xf numFmtId="0" fontId="6" fillId="6" borderId="15" xfId="0" applyFont="1" applyFill="1" applyBorder="1" applyAlignment="1">
      <alignment horizontal="left" vertical="center"/>
    </xf>
    <xf numFmtId="0" fontId="6" fillId="6" borderId="2" xfId="0" applyFont="1" applyFill="1" applyBorder="1" applyAlignment="1">
      <alignment horizontal="left" vertical="center"/>
    </xf>
    <xf numFmtId="0" fontId="10" fillId="5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3" fontId="6" fillId="0" borderId="6" xfId="0" applyNumberFormat="1" applyFont="1" applyBorder="1" applyAlignment="1">
      <alignment horizontal="left" vertical="center"/>
    </xf>
    <xf numFmtId="10" fontId="1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/>
    </xf>
    <xf numFmtId="0" fontId="13" fillId="10" borderId="25" xfId="0" applyFont="1" applyFill="1" applyBorder="1"/>
    <xf numFmtId="0" fontId="6" fillId="9" borderId="25" xfId="0" applyFont="1" applyFill="1" applyBorder="1"/>
    <xf numFmtId="0" fontId="0" fillId="9" borderId="26" xfId="0" applyFill="1" applyBorder="1"/>
    <xf numFmtId="0" fontId="0" fillId="9" borderId="27" xfId="0" applyFill="1" applyBorder="1"/>
    <xf numFmtId="0" fontId="14" fillId="0" borderId="1" xfId="0" applyFont="1" applyBorder="1" applyAlignment="1">
      <alignment horizontal="left" vertical="center" wrapText="1"/>
    </xf>
    <xf numFmtId="0" fontId="3" fillId="0" borderId="14" xfId="0" applyFont="1" applyBorder="1"/>
    <xf numFmtId="0" fontId="2" fillId="0" borderId="6" xfId="0" applyFont="1" applyBorder="1"/>
    <xf numFmtId="0" fontId="2" fillId="0" borderId="24" xfId="0" applyFont="1" applyBorder="1" applyAlignment="1">
      <alignment wrapText="1"/>
    </xf>
    <xf numFmtId="0" fontId="2" fillId="0" borderId="16" xfId="0" applyFont="1" applyBorder="1" applyAlignment="1">
      <alignment wrapText="1"/>
    </xf>
    <xf numFmtId="0" fontId="6" fillId="0" borderId="2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7" xfId="0" applyNumberFormat="1" applyFont="1" applyBorder="1" applyAlignment="1">
      <alignment horizontal="left" vertical="center"/>
    </xf>
    <xf numFmtId="165" fontId="6" fillId="0" borderId="5" xfId="0" applyNumberFormat="1" applyFont="1" applyBorder="1" applyAlignment="1">
      <alignment horizontal="left" vertical="center"/>
    </xf>
    <xf numFmtId="0" fontId="7" fillId="4" borderId="6" xfId="0" applyFont="1" applyFill="1" applyBorder="1" applyAlignment="1">
      <alignment horizontal="center" vertical="center"/>
    </xf>
    <xf numFmtId="0" fontId="0" fillId="6" borderId="0" xfId="0" applyFill="1" applyBorder="1"/>
    <xf numFmtId="165" fontId="15" fillId="0" borderId="0" xfId="0" applyNumberFormat="1" applyFont="1" applyAlignment="1">
      <alignment horizontal="left" vertical="center"/>
    </xf>
    <xf numFmtId="164" fontId="6" fillId="0" borderId="28" xfId="0" applyNumberFormat="1" applyFont="1" applyBorder="1" applyAlignment="1">
      <alignment horizontal="left" vertical="center"/>
    </xf>
    <xf numFmtId="0" fontId="7" fillId="3" borderId="6" xfId="0" applyFont="1" applyFill="1" applyBorder="1" applyAlignment="1">
      <alignment horizontal="center" vertical="center"/>
    </xf>
    <xf numFmtId="165" fontId="6" fillId="0" borderId="28" xfId="0" applyNumberFormat="1" applyFont="1" applyBorder="1" applyAlignment="1">
      <alignment horizontal="left" vertical="center"/>
    </xf>
    <xf numFmtId="10" fontId="11" fillId="0" borderId="1" xfId="0" applyNumberFormat="1" applyFont="1" applyBorder="1" applyAlignment="1">
      <alignment horizontal="left" vertical="center"/>
    </xf>
    <xf numFmtId="10" fontId="11" fillId="0" borderId="6" xfId="0" applyNumberFormat="1" applyFont="1" applyBorder="1" applyAlignment="1">
      <alignment horizontal="left" vertical="center"/>
    </xf>
    <xf numFmtId="3" fontId="6" fillId="0" borderId="24" xfId="0" applyNumberFormat="1" applyFont="1" applyBorder="1" applyAlignment="1">
      <alignment horizontal="left" vertical="center"/>
    </xf>
    <xf numFmtId="0" fontId="2" fillId="6" borderId="0" xfId="0" applyFont="1" applyFill="1" applyBorder="1" applyAlignment="1">
      <alignment horizontal="left" vertical="center"/>
    </xf>
    <xf numFmtId="3" fontId="6" fillId="0" borderId="25" xfId="0" applyNumberFormat="1" applyFont="1" applyBorder="1" applyAlignment="1">
      <alignment horizontal="left" vertical="center"/>
    </xf>
    <xf numFmtId="3" fontId="2" fillId="0" borderId="6" xfId="0" applyNumberFormat="1" applyFont="1" applyBorder="1" applyAlignment="1">
      <alignment horizontal="left" vertical="center"/>
    </xf>
    <xf numFmtId="0" fontId="11" fillId="8" borderId="0" xfId="0" applyFont="1" applyFill="1" applyBorder="1" applyAlignment="1">
      <alignment horizontal="left" vertical="center"/>
    </xf>
    <xf numFmtId="10" fontId="12" fillId="0" borderId="8" xfId="0" applyNumberFormat="1" applyFont="1" applyBorder="1" applyAlignment="1">
      <alignment horizontal="left" vertical="center"/>
    </xf>
    <xf numFmtId="0" fontId="2" fillId="6" borderId="17" xfId="0" applyFont="1" applyFill="1" applyBorder="1" applyAlignment="1">
      <alignment horizontal="left" vertical="center"/>
    </xf>
    <xf numFmtId="0" fontId="2" fillId="6" borderId="19" xfId="0" applyFont="1" applyFill="1" applyBorder="1" applyAlignment="1">
      <alignment horizontal="left" vertical="center"/>
    </xf>
    <xf numFmtId="0" fontId="2" fillId="6" borderId="22" xfId="0" applyFont="1" applyFill="1" applyBorder="1" applyAlignment="1">
      <alignment horizontal="left" vertical="center"/>
    </xf>
    <xf numFmtId="0" fontId="2" fillId="6" borderId="21" xfId="0" applyFont="1" applyFill="1" applyBorder="1" applyAlignment="1">
      <alignment horizontal="left" vertical="center"/>
    </xf>
    <xf numFmtId="0" fontId="2" fillId="6" borderId="29" xfId="0" applyFont="1" applyFill="1" applyBorder="1" applyAlignment="1">
      <alignment horizontal="left" vertical="center"/>
    </xf>
    <xf numFmtId="0" fontId="2" fillId="6" borderId="18" xfId="0" applyFont="1" applyFill="1" applyBorder="1" applyAlignment="1">
      <alignment horizontal="left" vertical="center"/>
    </xf>
    <xf numFmtId="0" fontId="2" fillId="6" borderId="20" xfId="0" applyFont="1" applyFill="1" applyBorder="1" applyAlignment="1">
      <alignment horizontal="left" vertical="center"/>
    </xf>
    <xf numFmtId="0" fontId="11" fillId="8" borderId="20" xfId="0" applyFont="1" applyFill="1" applyBorder="1" applyAlignment="1">
      <alignment horizontal="left" vertical="center"/>
    </xf>
    <xf numFmtId="0" fontId="2" fillId="6" borderId="23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10" fontId="12" fillId="0" borderId="6" xfId="0" applyNumberFormat="1" applyFont="1" applyBorder="1" applyAlignment="1">
      <alignment horizontal="left" vertical="center"/>
    </xf>
    <xf numFmtId="0" fontId="10" fillId="5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Model Validation Loss Comparison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 Months vs 12 Months Results'!$C$1</c:f>
              <c:strCache>
                <c:ptCount val="1"/>
                <c:pt idx="0">
                  <c:v>Validation Loss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'6 Months vs 12 Months Results'!$A$2:$A$3</c:f>
              <c:strCache>
                <c:ptCount val="2"/>
                <c:pt idx="0">
                  <c:v>Extremely Randomized Trees (6 Months)</c:v>
                </c:pt>
                <c:pt idx="1">
                  <c:v>Extremely Randomized Trees (12 Months)</c:v>
                </c:pt>
              </c:strCache>
            </c:strRef>
          </c:cat>
          <c:val>
            <c:numRef>
              <c:f>'6 Months vs 12 Months Results'!$C$2:$C$3</c:f>
              <c:numCache>
                <c:formatCode>General</c:formatCode>
                <c:ptCount val="2"/>
                <c:pt idx="0">
                  <c:v>9.0981142258419495E-2</c:v>
                </c:pt>
                <c:pt idx="1">
                  <c:v>9.5093736006222507E-2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2B-2A4F-8DF8-56F15AB39A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Model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Validation Loss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kern="1200" baseline="0">
                <a:solidFill>
                  <a:sysClr val="windowText" lastClr="000000"/>
                </a:solidFill>
              </a:rPr>
              <a:t>6-Months vs 12 Months Forecast (extra_trees)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'6 Months vs 12 Months Forecast'!$B$1</c:f>
              <c:strCache>
                <c:ptCount val="1"/>
                <c:pt idx="0">
                  <c:v>Forecasted_Quantity (6 Months)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'6 Months vs 12 Months Forecast'!$A$2:$A$7</c:f>
              <c:numCache>
                <c:formatCode>yyyy\-mm\-dd\ hh:mm:ss</c:formatCode>
                <c:ptCount val="6"/>
                <c:pt idx="0">
                  <c:v>45809</c:v>
                </c:pt>
                <c:pt idx="1">
                  <c:v>45839</c:v>
                </c:pt>
                <c:pt idx="2">
                  <c:v>45870</c:v>
                </c:pt>
                <c:pt idx="3">
                  <c:v>45901</c:v>
                </c:pt>
                <c:pt idx="4">
                  <c:v>45931</c:v>
                </c:pt>
                <c:pt idx="5">
                  <c:v>45962</c:v>
                </c:pt>
              </c:numCache>
            </c:numRef>
          </c:cat>
          <c:val>
            <c:numRef>
              <c:f>'6 Months vs 12 Months Forecast'!$B$2:$B$7</c:f>
              <c:numCache>
                <c:formatCode>General</c:formatCode>
                <c:ptCount val="6"/>
                <c:pt idx="0">
                  <c:v>24558499</c:v>
                </c:pt>
                <c:pt idx="1">
                  <c:v>27313978</c:v>
                </c:pt>
                <c:pt idx="2">
                  <c:v>27800663</c:v>
                </c:pt>
                <c:pt idx="3">
                  <c:v>28721598</c:v>
                </c:pt>
                <c:pt idx="4">
                  <c:v>28795635</c:v>
                </c:pt>
                <c:pt idx="5">
                  <c:v>27729464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7A-C640-8E00-CD950BCC4308}"/>
            </c:ext>
          </c:extLst>
        </c:ser>
        <c:ser>
          <c:idx val="1"/>
          <c:order val="1"/>
          <c:tx>
            <c:strRef>
              <c:f>'6 Months vs 12 Months Forecast'!$E$1</c:f>
              <c:strCache>
                <c:ptCount val="1"/>
                <c:pt idx="0">
                  <c:v>Forecasted_Quantity (12 Months)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'6 Months vs 12 Months Forecast'!$A$2:$A$7</c:f>
              <c:numCache>
                <c:formatCode>yyyy\-mm\-dd\ hh:mm:ss</c:formatCode>
                <c:ptCount val="6"/>
                <c:pt idx="0">
                  <c:v>45809</c:v>
                </c:pt>
                <c:pt idx="1">
                  <c:v>45839</c:v>
                </c:pt>
                <c:pt idx="2">
                  <c:v>45870</c:v>
                </c:pt>
                <c:pt idx="3">
                  <c:v>45901</c:v>
                </c:pt>
                <c:pt idx="4">
                  <c:v>45931</c:v>
                </c:pt>
                <c:pt idx="5">
                  <c:v>45962</c:v>
                </c:pt>
              </c:numCache>
            </c:numRef>
          </c:cat>
          <c:val>
            <c:numRef>
              <c:f>'6 Months vs 12 Months Forecast'!$E$2:$E$7</c:f>
              <c:numCache>
                <c:formatCode>General</c:formatCode>
                <c:ptCount val="6"/>
                <c:pt idx="0">
                  <c:v>26810999</c:v>
                </c:pt>
                <c:pt idx="1">
                  <c:v>27346035</c:v>
                </c:pt>
                <c:pt idx="2">
                  <c:v>27959693</c:v>
                </c:pt>
                <c:pt idx="3">
                  <c:v>28312937</c:v>
                </c:pt>
                <c:pt idx="4">
                  <c:v>26684815</c:v>
                </c:pt>
                <c:pt idx="5">
                  <c:v>26677810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7A-C640-8E00-CD950BCC43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7365808"/>
        <c:axId val="1077860336"/>
      </c:lineChart>
      <c:dateAx>
        <c:axId val="1077365808"/>
        <c:scaling>
          <c:orientation val="minMax"/>
        </c:scaling>
        <c:delete val="0"/>
        <c:axPos val="b"/>
        <c:numFmt formatCode="yyyy\-mm\-dd\ hh:mm:ss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7860336"/>
        <c:crosses val="autoZero"/>
        <c:auto val="1"/>
        <c:lblOffset val="100"/>
        <c:baseTimeUnit val="months"/>
      </c:dateAx>
      <c:valAx>
        <c:axId val="107786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7365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 Months vs 12 Months Forecast'!$G$1</c:f>
              <c:strCache>
                <c:ptCount val="1"/>
                <c:pt idx="0">
                  <c:v>6M vs 12M Prediction % Change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'6 Months vs 12 Months Forecast'!$A$2:$A$7</c:f>
              <c:numCache>
                <c:formatCode>yyyy\-mm\-dd\ hh:mm:ss</c:formatCode>
                <c:ptCount val="6"/>
                <c:pt idx="0">
                  <c:v>45809</c:v>
                </c:pt>
                <c:pt idx="1">
                  <c:v>45839</c:v>
                </c:pt>
                <c:pt idx="2">
                  <c:v>45870</c:v>
                </c:pt>
                <c:pt idx="3">
                  <c:v>45901</c:v>
                </c:pt>
                <c:pt idx="4">
                  <c:v>45931</c:v>
                </c:pt>
                <c:pt idx="5">
                  <c:v>45962</c:v>
                </c:pt>
              </c:numCache>
            </c:numRef>
          </c:cat>
          <c:val>
            <c:numRef>
              <c:f>'6 Months vs 12 Months Forecast'!$G$2:$G$7</c:f>
              <c:numCache>
                <c:formatCode>0.00%</c:formatCode>
                <c:ptCount val="6"/>
                <c:pt idx="0">
                  <c:v>-8.401402722815364E-2</c:v>
                </c:pt>
                <c:pt idx="1">
                  <c:v>-1.1722723239401983E-3</c:v>
                </c:pt>
                <c:pt idx="2">
                  <c:v>-5.6878306925616101E-3</c:v>
                </c:pt>
                <c:pt idx="3">
                  <c:v>1.4433719822143495E-2</c:v>
                </c:pt>
                <c:pt idx="4">
                  <c:v>7.9101916202154676E-2</c:v>
                </c:pt>
                <c:pt idx="5">
                  <c:v>3.9420552136775845E-2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95-9D4F-8474-633FC87077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77384944"/>
        <c:axId val="1077386656"/>
      </c:barChart>
      <c:dateAx>
        <c:axId val="1077384944"/>
        <c:scaling>
          <c:orientation val="minMax"/>
        </c:scaling>
        <c:delete val="0"/>
        <c:axPos val="b"/>
        <c:numFmt formatCode="yyyy\-mm\-dd\ hh:mm:ss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7386656"/>
        <c:crosses val="autoZero"/>
        <c:auto val="1"/>
        <c:lblOffset val="100"/>
        <c:baseTimeUnit val="months"/>
      </c:dateAx>
      <c:valAx>
        <c:axId val="1077386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7384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2025 6M</a:t>
            </a:r>
            <a:r>
              <a:rPr lang="en-US" sz="1600" b="1" baseline="0"/>
              <a:t> vs 12M vs Actual Quantity</a:t>
            </a:r>
            <a:endParaRPr lang="en-US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'2025 Forecast vs Actual Qty'!$C$1</c:f>
              <c:strCache>
                <c:ptCount val="1"/>
                <c:pt idx="0">
                  <c:v>Forecasted Qty (6 Months)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'2025 Forecast vs Actual Qty'!$B$2:$B$7</c:f>
              <c:strCache>
                <c:ptCount val="6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  <c:pt idx="4">
                  <c:v>October</c:v>
                </c:pt>
                <c:pt idx="5">
                  <c:v>November</c:v>
                </c:pt>
              </c:strCache>
            </c:strRef>
          </c:cat>
          <c:val>
            <c:numRef>
              <c:f>'2025 Forecast vs Actual Qty'!$C$2:$C$7</c:f>
              <c:numCache>
                <c:formatCode>#,##0</c:formatCode>
                <c:ptCount val="6"/>
                <c:pt idx="0">
                  <c:v>24558499</c:v>
                </c:pt>
                <c:pt idx="1">
                  <c:v>27313978</c:v>
                </c:pt>
                <c:pt idx="2">
                  <c:v>27800663</c:v>
                </c:pt>
                <c:pt idx="3">
                  <c:v>28721598</c:v>
                </c:pt>
                <c:pt idx="4">
                  <c:v>28795635</c:v>
                </c:pt>
                <c:pt idx="5">
                  <c:v>27729464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68-9B46-B788-5C1331ED071B}"/>
            </c:ext>
          </c:extLst>
        </c:ser>
        <c:ser>
          <c:idx val="1"/>
          <c:order val="1"/>
          <c:tx>
            <c:strRef>
              <c:f>'2025 Forecast vs Actual Qty'!$D$1</c:f>
              <c:strCache>
                <c:ptCount val="1"/>
                <c:pt idx="0">
                  <c:v>Forecasted Qty (12 Months)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'2025 Forecast vs Actual Qty'!$B$2:$B$7</c:f>
              <c:strCache>
                <c:ptCount val="6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  <c:pt idx="4">
                  <c:v>October</c:v>
                </c:pt>
                <c:pt idx="5">
                  <c:v>November</c:v>
                </c:pt>
              </c:strCache>
            </c:strRef>
          </c:cat>
          <c:val>
            <c:numRef>
              <c:f>'2025 Forecast vs Actual Qty'!$D$2:$D$7</c:f>
              <c:numCache>
                <c:formatCode>#,##0</c:formatCode>
                <c:ptCount val="6"/>
                <c:pt idx="0">
                  <c:v>26810999</c:v>
                </c:pt>
                <c:pt idx="1">
                  <c:v>27346035</c:v>
                </c:pt>
                <c:pt idx="2">
                  <c:v>27959693</c:v>
                </c:pt>
                <c:pt idx="3">
                  <c:v>28312937</c:v>
                </c:pt>
                <c:pt idx="4">
                  <c:v>26684815</c:v>
                </c:pt>
                <c:pt idx="5">
                  <c:v>26677810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68-9B46-B788-5C1331ED071B}"/>
            </c:ext>
          </c:extLst>
        </c:ser>
        <c:ser>
          <c:idx val="2"/>
          <c:order val="2"/>
          <c:tx>
            <c:strRef>
              <c:f>'2025 Forecast vs Actual Qty'!$E$1</c:f>
              <c:strCache>
                <c:ptCount val="1"/>
                <c:pt idx="0">
                  <c:v>Actual Qty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'2025 Forecast vs Actual Qty'!$B$2:$B$7</c:f>
              <c:strCache>
                <c:ptCount val="6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  <c:pt idx="4">
                  <c:v>October</c:v>
                </c:pt>
                <c:pt idx="5">
                  <c:v>November</c:v>
                </c:pt>
              </c:strCache>
            </c:strRef>
          </c:cat>
          <c:val>
            <c:numRef>
              <c:f>'2025 Forecast vs Actual Qty'!$E$2:$E$7</c:f>
              <c:numCache>
                <c:formatCode>General</c:formatCode>
                <c:ptCount val="6"/>
                <c:pt idx="0" formatCode="#,##0">
                  <c:v>23032417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868-9B46-B788-5C1331ED07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2483968"/>
        <c:axId val="1922485680"/>
      </c:barChart>
      <c:catAx>
        <c:axId val="1922483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485680"/>
        <c:crosses val="autoZero"/>
        <c:auto val="1"/>
        <c:lblAlgn val="ctr"/>
        <c:lblOffset val="100"/>
        <c:noMultiLvlLbl val="0"/>
      </c:catAx>
      <c:valAx>
        <c:axId val="1922485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483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15</xdr:row>
      <xdr:rowOff>142875</xdr:rowOff>
    </xdr:from>
    <xdr:to>
      <xdr:col>3</xdr:col>
      <xdr:colOff>1228725</xdr:colOff>
      <xdr:row>36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32A857A-53F7-907A-7728-DF3025D76A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" y="4010025"/>
          <a:ext cx="8001000" cy="38766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171450</xdr:colOff>
      <xdr:row>4</xdr:row>
      <xdr:rowOff>114300</xdr:rowOff>
    </xdr:from>
    <xdr:ext cx="10325100" cy="54959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247650</xdr:colOff>
      <xdr:row>14</xdr:row>
      <xdr:rowOff>88900</xdr:rowOff>
    </xdr:from>
    <xdr:to>
      <xdr:col>5</xdr:col>
      <xdr:colOff>533400</xdr:colOff>
      <xdr:row>48</xdr:row>
      <xdr:rowOff>139700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0AB36D7-BA80-F4CB-C1AE-9432171246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774700</xdr:colOff>
      <xdr:row>14</xdr:row>
      <xdr:rowOff>114300</xdr:rowOff>
    </xdr:from>
    <xdr:to>
      <xdr:col>13</xdr:col>
      <xdr:colOff>317500</xdr:colOff>
      <xdr:row>48</xdr:row>
      <xdr:rowOff>127000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62821DA-637F-D2AA-00FC-1B68289E4F48}"/>
            </a:ext>
            <a:ext uri="{147F2762-F138-4A5C-976F-8EAC2B608ADB}">
              <a16:predDERef xmlns:a16="http://schemas.microsoft.com/office/drawing/2014/main" pred="{90AB36D7-BA80-F4CB-C1AE-9432171246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3</xdr:row>
      <xdr:rowOff>161925</xdr:rowOff>
    </xdr:from>
    <xdr:to>
      <xdr:col>6</xdr:col>
      <xdr:colOff>409575</xdr:colOff>
      <xdr:row>11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FBE101-E2AF-95CD-9CBE-C2168EF0C1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775" y="1076325"/>
          <a:ext cx="8162925" cy="18383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4</xdr:row>
      <xdr:rowOff>95250</xdr:rowOff>
    </xdr:from>
    <xdr:to>
      <xdr:col>5</xdr:col>
      <xdr:colOff>1323975</xdr:colOff>
      <xdr:row>11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CCE2257-63DB-18A9-D90C-E72545FC1D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1247775"/>
          <a:ext cx="7696200" cy="17335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317500</xdr:colOff>
      <xdr:row>14</xdr:row>
      <xdr:rowOff>57150</xdr:rowOff>
    </xdr:from>
    <xdr:to>
      <xdr:col>5</xdr:col>
      <xdr:colOff>2781300</xdr:colOff>
      <xdr:row>41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FECC14-8E5F-745A-5F82-71E676878B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"/>
  <sheetViews>
    <sheetView workbookViewId="0">
      <selection activeCell="C13" sqref="C13"/>
    </sheetView>
  </sheetViews>
  <sheetFormatPr defaultColWidth="8.85546875" defaultRowHeight="18.95"/>
  <cols>
    <col min="1" max="1" width="46.28515625" style="2" customWidth="1"/>
    <col min="2" max="2" width="128" style="1" customWidth="1"/>
    <col min="3" max="3" width="17.85546875" style="1" customWidth="1"/>
    <col min="4" max="4" width="22" style="1" customWidth="1"/>
    <col min="5" max="5" width="16" style="1" customWidth="1"/>
    <col min="6" max="6" width="19" style="1" customWidth="1"/>
    <col min="7" max="7" width="21" style="1" customWidth="1"/>
    <col min="8" max="8" width="26" style="1" customWidth="1"/>
    <col min="9" max="9" width="7" style="1" customWidth="1"/>
    <col min="10" max="10" width="24" style="1" customWidth="1"/>
    <col min="11" max="11" width="35" style="1" customWidth="1"/>
    <col min="12" max="12" width="36" style="1" customWidth="1"/>
    <col min="13" max="13" width="25" style="1" customWidth="1"/>
    <col min="14" max="14" width="44" style="1" customWidth="1"/>
    <col min="15" max="15" width="12" style="1" customWidth="1"/>
    <col min="16" max="16384" width="8.85546875" style="1"/>
  </cols>
  <sheetData>
    <row r="1" spans="1:15" ht="59.1" customHeight="1" thickBot="1">
      <c r="A1" s="13"/>
      <c r="B1" s="14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>
      <c r="A2" s="6" t="s">
        <v>1</v>
      </c>
      <c r="B2" s="7" t="s">
        <v>2</v>
      </c>
    </row>
    <row r="3" spans="1:15">
      <c r="A3" s="6"/>
      <c r="B3" s="7"/>
    </row>
    <row r="4" spans="1:15">
      <c r="A4" s="6" t="s">
        <v>3</v>
      </c>
      <c r="B4" s="7" t="s">
        <v>2</v>
      </c>
    </row>
    <row r="5" spans="1:15">
      <c r="A5" s="6"/>
      <c r="B5" s="7"/>
    </row>
    <row r="6" spans="1:15">
      <c r="A6" s="6" t="s">
        <v>4</v>
      </c>
      <c r="B6" s="7" t="s">
        <v>2</v>
      </c>
    </row>
    <row r="7" spans="1:15">
      <c r="A7" s="6"/>
      <c r="B7" s="7"/>
    </row>
    <row r="8" spans="1:15">
      <c r="A8" s="6" t="s">
        <v>5</v>
      </c>
      <c r="B8" s="7" t="s">
        <v>6</v>
      </c>
    </row>
    <row r="9" spans="1:15">
      <c r="A9" s="4"/>
      <c r="B9" s="5"/>
    </row>
    <row r="10" spans="1:15">
      <c r="A10" s="4" t="s">
        <v>7</v>
      </c>
      <c r="B10" s="5" t="s">
        <v>8</v>
      </c>
    </row>
    <row r="11" spans="1:15">
      <c r="A11" s="4"/>
      <c r="B11" s="5"/>
    </row>
    <row r="12" spans="1:15">
      <c r="A12" s="4" t="s">
        <v>9</v>
      </c>
      <c r="B12" s="49" t="s">
        <v>10</v>
      </c>
    </row>
    <row r="13" spans="1:15" ht="61.5" customHeight="1">
      <c r="A13" s="48"/>
      <c r="B13" s="50" t="s">
        <v>11</v>
      </c>
    </row>
    <row r="14" spans="1:15" ht="18">
      <c r="A14" s="4"/>
      <c r="B14" s="7"/>
    </row>
    <row r="15" spans="1:15">
      <c r="A15" s="4" t="s">
        <v>12</v>
      </c>
      <c r="B15" s="5" t="s">
        <v>13</v>
      </c>
    </row>
    <row r="16" spans="1:15">
      <c r="A16" s="4"/>
      <c r="B16" s="5"/>
    </row>
    <row r="17" spans="1:2">
      <c r="A17" s="4" t="s">
        <v>14</v>
      </c>
      <c r="B17" s="5" t="s">
        <v>15</v>
      </c>
    </row>
    <row r="18" spans="1:2">
      <c r="A18" s="4"/>
      <c r="B18" s="5"/>
    </row>
    <row r="19" spans="1:2">
      <c r="A19" s="4" t="s">
        <v>16</v>
      </c>
      <c r="B19" s="5" t="s">
        <v>17</v>
      </c>
    </row>
    <row r="20" spans="1:2">
      <c r="A20" s="4"/>
      <c r="B20" s="5"/>
    </row>
    <row r="21" spans="1:2">
      <c r="A21" s="4" t="s">
        <v>18</v>
      </c>
      <c r="B21" s="5" t="s">
        <v>19</v>
      </c>
    </row>
    <row r="22" spans="1:2" ht="18"/>
    <row r="23" spans="1:2" ht="18"/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41AF2-3268-3E45-BC68-0E3518C61ADB}">
  <dimension ref="A1:O23"/>
  <sheetViews>
    <sheetView workbookViewId="0">
      <selection activeCell="C14" sqref="C14"/>
    </sheetView>
  </sheetViews>
  <sheetFormatPr defaultColWidth="8.85546875" defaultRowHeight="18.95"/>
  <cols>
    <col min="1" max="1" width="46.42578125" style="2" customWidth="1"/>
    <col min="2" max="2" width="128.42578125" style="1" customWidth="1"/>
    <col min="3" max="3" width="24.140625" style="1" customWidth="1"/>
    <col min="4" max="4" width="22" style="1" customWidth="1"/>
    <col min="5" max="5" width="16" style="1" customWidth="1"/>
    <col min="6" max="6" width="19" style="1" customWidth="1"/>
    <col min="7" max="7" width="21" style="1" customWidth="1"/>
    <col min="8" max="8" width="26" style="1" customWidth="1"/>
    <col min="9" max="9" width="7" style="1" customWidth="1"/>
    <col min="10" max="10" width="24" style="1" customWidth="1"/>
    <col min="11" max="11" width="35" style="1" customWidth="1"/>
    <col min="12" max="12" width="36" style="1" customWidth="1"/>
    <col min="13" max="13" width="25" style="1" customWidth="1"/>
    <col min="14" max="14" width="44" style="1" customWidth="1"/>
    <col min="15" max="15" width="12" style="1" customWidth="1"/>
    <col min="16" max="16384" width="8.85546875" style="1"/>
  </cols>
  <sheetData>
    <row r="1" spans="1:15" ht="59.1" customHeight="1" thickBot="1">
      <c r="A1" s="18"/>
      <c r="B1" s="19" t="s">
        <v>20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>
      <c r="A2" s="6" t="s">
        <v>1</v>
      </c>
      <c r="B2" s="7" t="s">
        <v>21</v>
      </c>
    </row>
    <row r="3" spans="1:15">
      <c r="A3" s="6"/>
      <c r="B3" s="7"/>
    </row>
    <row r="4" spans="1:15">
      <c r="A4" s="6" t="s">
        <v>3</v>
      </c>
      <c r="B4" s="7" t="s">
        <v>21</v>
      </c>
    </row>
    <row r="5" spans="1:15">
      <c r="A5" s="6"/>
      <c r="B5" s="7"/>
    </row>
    <row r="6" spans="1:15">
      <c r="A6" s="6" t="s">
        <v>4</v>
      </c>
      <c r="B6" s="7" t="s">
        <v>21</v>
      </c>
    </row>
    <row r="7" spans="1:15">
      <c r="A7" s="6"/>
      <c r="B7" s="7"/>
    </row>
    <row r="8" spans="1:15">
      <c r="A8" s="6" t="s">
        <v>5</v>
      </c>
      <c r="B8" s="7" t="s">
        <v>6</v>
      </c>
    </row>
    <row r="9" spans="1:15">
      <c r="A9" s="4"/>
      <c r="B9" s="5"/>
    </row>
    <row r="10" spans="1:15">
      <c r="A10" s="4" t="s">
        <v>7</v>
      </c>
      <c r="B10" s="5" t="s">
        <v>8</v>
      </c>
    </row>
    <row r="11" spans="1:15">
      <c r="A11" s="4"/>
      <c r="B11" s="5"/>
    </row>
    <row r="12" spans="1:15">
      <c r="A12" s="4" t="s">
        <v>9</v>
      </c>
      <c r="B12" s="49" t="s">
        <v>10</v>
      </c>
    </row>
    <row r="13" spans="1:15" ht="59.25" customHeight="1">
      <c r="A13" s="4"/>
      <c r="B13" s="51" t="s">
        <v>11</v>
      </c>
    </row>
    <row r="14" spans="1:15" ht="18">
      <c r="A14" s="48"/>
      <c r="B14" s="50"/>
    </row>
    <row r="15" spans="1:15">
      <c r="A15" s="4" t="s">
        <v>12</v>
      </c>
      <c r="B15" s="7" t="s">
        <v>22</v>
      </c>
    </row>
    <row r="16" spans="1:15">
      <c r="A16" s="4"/>
      <c r="B16" s="5"/>
    </row>
    <row r="17" spans="1:2">
      <c r="A17" s="4" t="s">
        <v>14</v>
      </c>
      <c r="B17" s="5" t="s">
        <v>15</v>
      </c>
    </row>
    <row r="18" spans="1:2">
      <c r="A18" s="4"/>
      <c r="B18" s="5"/>
    </row>
    <row r="19" spans="1:2">
      <c r="A19" s="4" t="s">
        <v>16</v>
      </c>
      <c r="B19" s="5" t="s">
        <v>23</v>
      </c>
    </row>
    <row r="20" spans="1:2">
      <c r="A20" s="4"/>
      <c r="B20" s="5"/>
    </row>
    <row r="21" spans="1:2">
      <c r="A21" s="4" t="s">
        <v>18</v>
      </c>
      <c r="B21" s="5" t="s">
        <v>24</v>
      </c>
    </row>
    <row r="22" spans="1:2" ht="18"/>
    <row r="23" spans="1:2" ht="18"/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62742-45BD-4C82-BD14-5E1B7632CFB4}">
  <dimension ref="A1:E13"/>
  <sheetViews>
    <sheetView workbookViewId="0">
      <selection activeCell="E18" sqref="E18"/>
    </sheetView>
  </sheetViews>
  <sheetFormatPr defaultRowHeight="15"/>
  <cols>
    <col min="1" max="1" width="44.7109375" bestFit="1" customWidth="1"/>
    <col min="2" max="2" width="27.28515625" customWidth="1"/>
    <col min="3" max="3" width="31.85546875" bestFit="1" customWidth="1"/>
    <col min="4" max="4" width="81.7109375" bestFit="1" customWidth="1"/>
    <col min="5" max="5" width="82.7109375" customWidth="1"/>
  </cols>
  <sheetData>
    <row r="1" spans="1:5" ht="18">
      <c r="A1" s="10" t="s">
        <v>25</v>
      </c>
      <c r="B1" s="10" t="s">
        <v>26</v>
      </c>
      <c r="C1" s="10" t="s">
        <v>27</v>
      </c>
      <c r="D1" s="10" t="s">
        <v>28</v>
      </c>
      <c r="E1" s="10" t="s">
        <v>29</v>
      </c>
    </row>
    <row r="2" spans="1:5" ht="42">
      <c r="A2" s="9" t="s">
        <v>30</v>
      </c>
      <c r="B2" s="9">
        <v>0.25831700000000002</v>
      </c>
      <c r="C2" s="9" t="s">
        <v>31</v>
      </c>
      <c r="D2" s="41" t="s">
        <v>32</v>
      </c>
      <c r="E2" s="41"/>
    </row>
    <row r="3" spans="1:5" ht="42">
      <c r="A3" s="9" t="s">
        <v>33</v>
      </c>
      <c r="B3" s="9">
        <v>0.17025899999999999</v>
      </c>
      <c r="C3" s="9" t="s">
        <v>34</v>
      </c>
      <c r="D3" s="41" t="s">
        <v>35</v>
      </c>
      <c r="E3" s="41" t="s">
        <v>36</v>
      </c>
    </row>
    <row r="4" spans="1:5" ht="42">
      <c r="A4" s="9" t="s">
        <v>37</v>
      </c>
      <c r="B4" s="9">
        <v>0.15</v>
      </c>
      <c r="C4" s="9" t="s">
        <v>38</v>
      </c>
      <c r="D4" s="41" t="s">
        <v>39</v>
      </c>
      <c r="E4" s="41" t="s">
        <v>40</v>
      </c>
    </row>
    <row r="5" spans="1:5" ht="62.25">
      <c r="A5" s="9" t="s">
        <v>41</v>
      </c>
      <c r="B5" s="9">
        <v>2.2009999999999998E-3</v>
      </c>
      <c r="C5" s="9" t="s">
        <v>42</v>
      </c>
      <c r="D5" s="41" t="s">
        <v>43</v>
      </c>
      <c r="E5" s="41"/>
    </row>
    <row r="6" spans="1:5" ht="42">
      <c r="A6" s="9" t="s">
        <v>44</v>
      </c>
      <c r="B6" s="9">
        <v>1.683E-3</v>
      </c>
      <c r="C6" s="9" t="s">
        <v>45</v>
      </c>
      <c r="D6" s="41" t="s">
        <v>46</v>
      </c>
      <c r="E6" s="41"/>
    </row>
    <row r="7" spans="1:5" ht="62.25">
      <c r="A7" s="9" t="s">
        <v>47</v>
      </c>
      <c r="B7" s="9">
        <v>6.4700000000000001E-4</v>
      </c>
      <c r="C7" s="9" t="s">
        <v>48</v>
      </c>
      <c r="D7" s="41" t="s">
        <v>49</v>
      </c>
      <c r="E7" s="41" t="s">
        <v>50</v>
      </c>
    </row>
    <row r="8" spans="1:5" ht="42">
      <c r="A8" s="42" t="s">
        <v>51</v>
      </c>
      <c r="B8" s="42">
        <v>0.41689300000000001</v>
      </c>
      <c r="C8" s="42" t="s">
        <v>52</v>
      </c>
      <c r="D8" s="47" t="s">
        <v>53</v>
      </c>
      <c r="E8" s="47" t="s">
        <v>54</v>
      </c>
    </row>
    <row r="12" spans="1:5" ht="18.75">
      <c r="A12" s="43" t="s">
        <v>55</v>
      </c>
      <c r="B12" s="44" t="s">
        <v>56</v>
      </c>
      <c r="C12" s="45"/>
      <c r="D12" s="46"/>
    </row>
    <row r="13" spans="1:5" ht="18.75">
      <c r="A13" s="43" t="s">
        <v>57</v>
      </c>
      <c r="B13" s="44" t="s">
        <v>58</v>
      </c>
      <c r="C13" s="45"/>
      <c r="D13" s="46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"/>
  <sheetViews>
    <sheetView workbookViewId="0">
      <selection activeCell="K12" sqref="K12"/>
    </sheetView>
  </sheetViews>
  <sheetFormatPr defaultColWidth="8.85546875" defaultRowHeight="15"/>
  <cols>
    <col min="1" max="1" width="48.5703125" bestFit="1" customWidth="1"/>
    <col min="2" max="2" width="19" customWidth="1"/>
    <col min="3" max="3" width="25.140625" customWidth="1"/>
    <col min="4" max="4" width="20" customWidth="1"/>
    <col min="5" max="6" width="19" customWidth="1"/>
  </cols>
  <sheetData>
    <row r="1" spans="1:6" ht="36" customHeight="1">
      <c r="A1" s="15" t="s">
        <v>59</v>
      </c>
      <c r="B1" s="15" t="s">
        <v>60</v>
      </c>
      <c r="C1" s="15" t="s">
        <v>61</v>
      </c>
      <c r="D1" s="15" t="s">
        <v>62</v>
      </c>
      <c r="E1" s="15" t="s">
        <v>63</v>
      </c>
      <c r="F1" s="15" t="s">
        <v>64</v>
      </c>
    </row>
    <row r="2" spans="1:6" ht="18.75">
      <c r="A2" s="8" t="s">
        <v>65</v>
      </c>
      <c r="B2" s="8" t="s">
        <v>66</v>
      </c>
      <c r="C2" s="8">
        <v>9.0981142258419495E-2</v>
      </c>
      <c r="D2" s="16">
        <v>9.0981142258419495E-2</v>
      </c>
      <c r="E2" s="8">
        <v>1.1407995223998999</v>
      </c>
      <c r="F2" s="9">
        <v>-2.0716000000000001</v>
      </c>
    </row>
    <row r="3" spans="1:6" ht="18.75">
      <c r="A3" s="8" t="s">
        <v>67</v>
      </c>
      <c r="B3" s="8" t="s">
        <v>66</v>
      </c>
      <c r="C3" s="8">
        <v>9.5093736006222507E-2</v>
      </c>
      <c r="D3" s="8">
        <v>9.5093736006222507E-2</v>
      </c>
      <c r="E3" s="8">
        <v>1.05974841117858</v>
      </c>
      <c r="F3" s="9">
        <v>-2.3081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2EAB7-D880-FD4E-8F6E-1DDE35B5D1AA}">
  <dimension ref="A1:G13"/>
  <sheetViews>
    <sheetView topLeftCell="E1" workbookViewId="0">
      <selection activeCell="E14" sqref="E14"/>
    </sheetView>
  </sheetViews>
  <sheetFormatPr defaultColWidth="8.85546875" defaultRowHeight="15"/>
  <cols>
    <col min="1" max="1" width="24.7109375" bestFit="1" customWidth="1"/>
    <col min="2" max="2" width="42.5703125" bestFit="1" customWidth="1"/>
    <col min="3" max="3" width="47.5703125" bestFit="1" customWidth="1"/>
    <col min="4" max="4" width="24.7109375" bestFit="1" customWidth="1"/>
    <col min="5" max="5" width="44.140625" bestFit="1" customWidth="1"/>
    <col min="6" max="6" width="49" bestFit="1" customWidth="1"/>
    <col min="7" max="7" width="42" bestFit="1" customWidth="1"/>
  </cols>
  <sheetData>
    <row r="1" spans="1:7" ht="35.1" customHeight="1">
      <c r="A1" s="17" t="s">
        <v>68</v>
      </c>
      <c r="B1" s="56" t="s">
        <v>69</v>
      </c>
      <c r="C1" s="17" t="s">
        <v>70</v>
      </c>
      <c r="D1" s="12" t="s">
        <v>71</v>
      </c>
      <c r="E1" s="60" t="s">
        <v>72</v>
      </c>
      <c r="F1" s="12" t="s">
        <v>73</v>
      </c>
      <c r="G1" s="20" t="s">
        <v>74</v>
      </c>
    </row>
    <row r="2" spans="1:7" ht="18.75">
      <c r="A2" s="53">
        <v>45809</v>
      </c>
      <c r="B2" s="52">
        <v>24558499</v>
      </c>
      <c r="C2" s="58">
        <v>24558500</v>
      </c>
      <c r="D2" s="53">
        <v>45809</v>
      </c>
      <c r="E2" s="52">
        <v>26810999</v>
      </c>
      <c r="F2" s="55">
        <v>26811000</v>
      </c>
      <c r="G2" s="62">
        <f>(B2-E2)/ABS(E2)</f>
        <v>-8.401402722815364E-2</v>
      </c>
    </row>
    <row r="3" spans="1:7" ht="18.75">
      <c r="A3" s="53">
        <v>45839</v>
      </c>
      <c r="B3" s="52">
        <v>27313978</v>
      </c>
      <c r="C3" s="58" t="s">
        <v>75</v>
      </c>
      <c r="D3" s="53">
        <v>45839</v>
      </c>
      <c r="E3" s="52">
        <v>27346035</v>
      </c>
      <c r="F3" s="55">
        <v>27346040</v>
      </c>
      <c r="G3" s="40">
        <f t="shared" ref="G3:G7" si="0">(B3-E3)/ABS(E3)</f>
        <v>-1.1722723239401983E-3</v>
      </c>
    </row>
    <row r="4" spans="1:7" ht="18.75">
      <c r="A4" s="53">
        <v>45870</v>
      </c>
      <c r="B4" s="52">
        <v>27800663</v>
      </c>
      <c r="C4" s="58">
        <v>27800660</v>
      </c>
      <c r="D4" s="53">
        <v>45870</v>
      </c>
      <c r="E4" s="52">
        <v>27959693</v>
      </c>
      <c r="F4" s="55">
        <v>27959690</v>
      </c>
      <c r="G4" s="40">
        <f t="shared" si="0"/>
        <v>-5.6878306925616101E-3</v>
      </c>
    </row>
    <row r="5" spans="1:7" ht="18.75">
      <c r="A5" s="53">
        <v>45901</v>
      </c>
      <c r="B5" s="52">
        <v>28721598</v>
      </c>
      <c r="C5" s="58">
        <v>28721600</v>
      </c>
      <c r="D5" s="53">
        <v>45901</v>
      </c>
      <c r="E5" s="52">
        <v>28312937</v>
      </c>
      <c r="F5" s="55">
        <v>28312940</v>
      </c>
      <c r="G5" s="40">
        <f t="shared" si="0"/>
        <v>1.4433719822143495E-2</v>
      </c>
    </row>
    <row r="6" spans="1:7" ht="18.75">
      <c r="A6" s="53">
        <v>45931</v>
      </c>
      <c r="B6" s="52">
        <v>28795635</v>
      </c>
      <c r="C6" s="58">
        <v>28795630</v>
      </c>
      <c r="D6" s="53">
        <v>45931</v>
      </c>
      <c r="E6" s="52">
        <v>26684815</v>
      </c>
      <c r="F6" s="55">
        <v>26684810</v>
      </c>
      <c r="G6" s="62">
        <f t="shared" si="0"/>
        <v>7.9101916202154676E-2</v>
      </c>
    </row>
    <row r="7" spans="1:7" ht="18.75">
      <c r="A7" s="54">
        <v>45962</v>
      </c>
      <c r="B7" s="52">
        <v>27729464</v>
      </c>
      <c r="C7" s="58">
        <v>27729460</v>
      </c>
      <c r="D7" s="54">
        <v>45962</v>
      </c>
      <c r="E7" s="52">
        <v>26677810</v>
      </c>
      <c r="F7" s="55">
        <v>26677810</v>
      </c>
      <c r="G7" s="63">
        <f t="shared" si="0"/>
        <v>3.9420552136775845E-2</v>
      </c>
    </row>
    <row r="8" spans="1:7" ht="18.75">
      <c r="A8" s="31"/>
      <c r="B8" s="57"/>
      <c r="C8" s="26"/>
      <c r="D8" s="59">
        <v>45992</v>
      </c>
      <c r="E8" s="52">
        <v>19309340</v>
      </c>
      <c r="F8" s="61">
        <v>19309340</v>
      </c>
      <c r="G8" s="23"/>
    </row>
    <row r="9" spans="1:7" ht="18.75">
      <c r="A9" s="32"/>
      <c r="B9" s="27"/>
      <c r="C9" s="28"/>
      <c r="D9" s="59">
        <v>46023</v>
      </c>
      <c r="E9" s="52">
        <v>29047535</v>
      </c>
      <c r="F9" s="61">
        <v>29047530</v>
      </c>
      <c r="G9" s="24"/>
    </row>
    <row r="10" spans="1:7" ht="18.75">
      <c r="A10" s="32"/>
      <c r="B10" s="27"/>
      <c r="C10" s="28"/>
      <c r="D10" s="59">
        <v>46054</v>
      </c>
      <c r="E10" s="52">
        <v>28635109</v>
      </c>
      <c r="F10" s="61">
        <v>28635110</v>
      </c>
      <c r="G10" s="24"/>
    </row>
    <row r="11" spans="1:7" ht="18.75">
      <c r="A11" s="32"/>
      <c r="B11" s="27"/>
      <c r="C11" s="28"/>
      <c r="D11" s="59">
        <v>46082</v>
      </c>
      <c r="E11" s="52">
        <v>27625474</v>
      </c>
      <c r="F11" s="61">
        <v>27625470</v>
      </c>
      <c r="G11" s="24"/>
    </row>
    <row r="12" spans="1:7" ht="18.75">
      <c r="A12" s="32"/>
      <c r="B12" s="27"/>
      <c r="C12" s="28"/>
      <c r="D12" s="59">
        <v>46113</v>
      </c>
      <c r="E12" s="52">
        <v>26450681</v>
      </c>
      <c r="F12" s="61">
        <v>26450680</v>
      </c>
      <c r="G12" s="24"/>
    </row>
    <row r="13" spans="1:7" ht="18.75">
      <c r="A13" s="33"/>
      <c r="B13" s="29"/>
      <c r="C13" s="30"/>
      <c r="D13" s="59">
        <v>46143</v>
      </c>
      <c r="E13" s="52">
        <v>25949981</v>
      </c>
      <c r="F13" s="61">
        <v>25949980</v>
      </c>
      <c r="G13" s="25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F71E0-5857-5A4C-AAB4-69F3DAD7F82C}">
  <dimension ref="A1:S2"/>
  <sheetViews>
    <sheetView workbookViewId="0">
      <selection activeCell="Q7" sqref="Q7"/>
    </sheetView>
  </sheetViews>
  <sheetFormatPr defaultColWidth="8.85546875" defaultRowHeight="18.95"/>
  <cols>
    <col min="1" max="1" width="27" style="1" bestFit="1" customWidth="1"/>
    <col min="2" max="2" width="12" style="1" bestFit="1" customWidth="1"/>
    <col min="3" max="4" width="18.7109375" style="1" bestFit="1" customWidth="1"/>
    <col min="5" max="5" width="20.140625" style="1" bestFit="1" customWidth="1"/>
    <col min="6" max="6" width="21.28515625" style="1" bestFit="1" customWidth="1"/>
    <col min="7" max="7" width="17.42578125" style="1" bestFit="1" customWidth="1"/>
    <col min="8" max="8" width="18.7109375" style="1" bestFit="1" customWidth="1"/>
    <col min="9" max="9" width="15.85546875" style="1" bestFit="1" customWidth="1"/>
    <col min="10" max="10" width="6.42578125" style="1" bestFit="1" customWidth="1"/>
    <col min="11" max="11" width="32.28515625" style="1" bestFit="1" customWidth="1"/>
    <col min="12" max="12" width="28.85546875" style="1" bestFit="1" customWidth="1"/>
    <col min="13" max="13" width="17.42578125" style="1" bestFit="1" customWidth="1"/>
    <col min="14" max="14" width="13.140625" style="1" bestFit="1" customWidth="1"/>
    <col min="15" max="15" width="16" style="1" bestFit="1" customWidth="1"/>
    <col min="16" max="16" width="18.7109375" style="1" bestFit="1" customWidth="1"/>
    <col min="17" max="17" width="17.7109375" style="1" bestFit="1" customWidth="1"/>
    <col min="18" max="18" width="16.85546875" style="1" bestFit="1" customWidth="1"/>
    <col min="19" max="19" width="16.28515625" style="1" bestFit="1" customWidth="1"/>
    <col min="20" max="16384" width="8.85546875" style="1"/>
  </cols>
  <sheetData>
    <row r="1" spans="1:19" ht="35.1" customHeight="1">
      <c r="A1" s="10" t="s">
        <v>76</v>
      </c>
      <c r="B1" s="10" t="s">
        <v>77</v>
      </c>
      <c r="C1" s="10" t="s">
        <v>78</v>
      </c>
      <c r="D1" s="10" t="s">
        <v>79</v>
      </c>
      <c r="E1" s="10" t="s">
        <v>80</v>
      </c>
      <c r="F1" s="10" t="s">
        <v>81</v>
      </c>
      <c r="G1" s="10" t="s">
        <v>82</v>
      </c>
      <c r="H1" s="10" t="s">
        <v>83</v>
      </c>
      <c r="I1" s="10" t="s">
        <v>84</v>
      </c>
      <c r="J1" s="10" t="s">
        <v>85</v>
      </c>
      <c r="K1" s="10" t="s">
        <v>86</v>
      </c>
      <c r="L1" s="10" t="s">
        <v>87</v>
      </c>
      <c r="M1" s="10" t="s">
        <v>88</v>
      </c>
      <c r="N1" s="10" t="s">
        <v>89</v>
      </c>
      <c r="O1" s="10" t="s">
        <v>90</v>
      </c>
      <c r="P1" s="10" t="s">
        <v>91</v>
      </c>
      <c r="Q1" s="10" t="s">
        <v>92</v>
      </c>
      <c r="R1" s="10" t="s">
        <v>93</v>
      </c>
      <c r="S1" s="10" t="s">
        <v>94</v>
      </c>
    </row>
    <row r="2" spans="1:19" s="11" customFormat="1">
      <c r="A2" s="9">
        <v>9.0981142258419495E-2</v>
      </c>
      <c r="B2" s="9">
        <v>-2.0716000000000001</v>
      </c>
      <c r="C2" s="9">
        <v>9.0981142258419495E-2</v>
      </c>
      <c r="D2" s="9">
        <v>1.1407995223998999</v>
      </c>
      <c r="E2" s="9">
        <v>9.0981142258419495E-2</v>
      </c>
      <c r="F2" s="9">
        <v>65.161728858947697</v>
      </c>
      <c r="G2" s="9">
        <v>7</v>
      </c>
      <c r="H2" s="9">
        <v>0.59403957113618699</v>
      </c>
      <c r="I2" s="9">
        <v>4</v>
      </c>
      <c r="J2" s="9">
        <v>9</v>
      </c>
      <c r="K2" s="9">
        <v>6</v>
      </c>
      <c r="L2" s="9">
        <v>1</v>
      </c>
      <c r="M2" s="9" t="b">
        <v>0</v>
      </c>
      <c r="N2" s="9" t="s">
        <v>66</v>
      </c>
      <c r="O2" s="9" t="s">
        <v>95</v>
      </c>
      <c r="P2" s="9" t="s">
        <v>96</v>
      </c>
      <c r="Q2" s="9" t="s">
        <v>97</v>
      </c>
      <c r="R2" s="9" t="s">
        <v>66</v>
      </c>
      <c r="S2" s="9">
        <v>102</v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"/>
  <sheetViews>
    <sheetView workbookViewId="0">
      <selection activeCell="O14" sqref="O14"/>
    </sheetView>
  </sheetViews>
  <sheetFormatPr defaultColWidth="8.85546875" defaultRowHeight="18.95"/>
  <cols>
    <col min="1" max="1" width="27" style="1" bestFit="1" customWidth="1"/>
    <col min="2" max="2" width="12" style="1" bestFit="1" customWidth="1"/>
    <col min="3" max="4" width="18.7109375" style="1" bestFit="1" customWidth="1"/>
    <col min="5" max="5" width="20.140625" style="1" bestFit="1" customWidth="1"/>
    <col min="6" max="6" width="21.28515625" style="1" bestFit="1" customWidth="1"/>
    <col min="7" max="7" width="17.42578125" style="1" bestFit="1" customWidth="1"/>
    <col min="8" max="8" width="18.7109375" style="1" bestFit="1" customWidth="1"/>
    <col min="9" max="9" width="15.85546875" style="1" bestFit="1" customWidth="1"/>
    <col min="10" max="10" width="6.42578125" style="1" bestFit="1" customWidth="1"/>
    <col min="11" max="11" width="32.28515625" style="1" bestFit="1" customWidth="1"/>
    <col min="12" max="12" width="28.85546875" style="1" bestFit="1" customWidth="1"/>
    <col min="13" max="13" width="17.42578125" style="1" bestFit="1" customWidth="1"/>
    <col min="14" max="14" width="13.140625" style="1" bestFit="1" customWidth="1"/>
    <col min="15" max="15" width="16" style="1" bestFit="1" customWidth="1"/>
    <col min="16" max="16" width="18.7109375" style="1" bestFit="1" customWidth="1"/>
    <col min="17" max="17" width="17.7109375" style="1" bestFit="1" customWidth="1"/>
    <col min="18" max="18" width="16.85546875" style="1" bestFit="1" customWidth="1"/>
    <col min="19" max="19" width="16.28515625" style="1" bestFit="1" customWidth="1"/>
    <col min="20" max="16384" width="8.85546875" style="1"/>
  </cols>
  <sheetData>
    <row r="1" spans="1:19" ht="35.1" customHeight="1">
      <c r="A1" s="10" t="s">
        <v>76</v>
      </c>
      <c r="B1" s="10" t="s">
        <v>77</v>
      </c>
      <c r="C1" s="10" t="s">
        <v>78</v>
      </c>
      <c r="D1" s="10" t="s">
        <v>79</v>
      </c>
      <c r="E1" s="10" t="s">
        <v>80</v>
      </c>
      <c r="F1" s="10" t="s">
        <v>81</v>
      </c>
      <c r="G1" s="10" t="s">
        <v>82</v>
      </c>
      <c r="H1" s="10" t="s">
        <v>83</v>
      </c>
      <c r="I1" s="10" t="s">
        <v>84</v>
      </c>
      <c r="J1" s="10" t="s">
        <v>85</v>
      </c>
      <c r="K1" s="10" t="s">
        <v>86</v>
      </c>
      <c r="L1" s="10" t="s">
        <v>87</v>
      </c>
      <c r="M1" s="10" t="s">
        <v>88</v>
      </c>
      <c r="N1" s="10" t="s">
        <v>89</v>
      </c>
      <c r="O1" s="10" t="s">
        <v>90</v>
      </c>
      <c r="P1" s="10" t="s">
        <v>91</v>
      </c>
      <c r="Q1" s="10" t="s">
        <v>92</v>
      </c>
      <c r="R1" s="10" t="s">
        <v>93</v>
      </c>
      <c r="S1" s="10" t="s">
        <v>94</v>
      </c>
    </row>
    <row r="2" spans="1:19" s="11" customFormat="1">
      <c r="A2" s="9">
        <v>9.5093736006222507E-2</v>
      </c>
      <c r="B2" s="9">
        <v>-2.3081</v>
      </c>
      <c r="C2" s="9">
        <v>9.5093736006222507E-2</v>
      </c>
      <c r="D2" s="9">
        <v>1.05974841117858</v>
      </c>
      <c r="E2" s="9">
        <v>9.5093736006222507E-2</v>
      </c>
      <c r="F2" s="9">
        <v>50.527944803237901</v>
      </c>
      <c r="G2" s="9">
        <v>4</v>
      </c>
      <c r="H2" s="9">
        <v>0.56952977645890701</v>
      </c>
      <c r="I2" s="9">
        <v>5</v>
      </c>
      <c r="J2" s="9">
        <v>8</v>
      </c>
      <c r="K2" s="9">
        <v>3</v>
      </c>
      <c r="L2" s="9">
        <v>1</v>
      </c>
      <c r="M2" s="9" t="b">
        <v>0</v>
      </c>
      <c r="N2" s="9" t="s">
        <v>66</v>
      </c>
      <c r="O2" s="9" t="s">
        <v>95</v>
      </c>
      <c r="P2" s="9" t="s">
        <v>96</v>
      </c>
      <c r="Q2" s="9" t="s">
        <v>97</v>
      </c>
      <c r="R2" s="9" t="s">
        <v>66</v>
      </c>
      <c r="S2" s="9">
        <v>102</v>
      </c>
    </row>
  </sheetData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5CA40-C714-8B4B-81AA-FB180BD1884F}">
  <dimension ref="A1:K13"/>
  <sheetViews>
    <sheetView tabSelected="1" topLeftCell="G1" workbookViewId="0">
      <selection activeCell="K22" sqref="K22"/>
    </sheetView>
  </sheetViews>
  <sheetFormatPr defaultColWidth="11.42578125" defaultRowHeight="15"/>
  <cols>
    <col min="1" max="1" width="8" customWidth="1"/>
    <col min="2" max="2" width="13.5703125" bestFit="1" customWidth="1"/>
    <col min="3" max="3" width="35.85546875" bestFit="1" customWidth="1"/>
    <col min="4" max="4" width="37.42578125" bestFit="1" customWidth="1"/>
    <col min="5" max="5" width="16.28515625" customWidth="1"/>
    <col min="6" max="6" width="40.28515625" bestFit="1" customWidth="1"/>
    <col min="7" max="7" width="41.5703125" bestFit="1" customWidth="1"/>
    <col min="8" max="8" width="46.28515625" customWidth="1"/>
    <col min="9" max="9" width="42.28515625" customWidth="1"/>
    <col min="10" max="10" width="39.42578125" customWidth="1"/>
    <col min="11" max="11" width="41.42578125" customWidth="1"/>
  </cols>
  <sheetData>
    <row r="1" spans="1:11" ht="69.75" customHeight="1">
      <c r="A1" s="10" t="s">
        <v>98</v>
      </c>
      <c r="B1" s="10" t="s">
        <v>99</v>
      </c>
      <c r="C1" s="10" t="s">
        <v>100</v>
      </c>
      <c r="D1" s="10" t="s">
        <v>101</v>
      </c>
      <c r="E1" s="10" t="s">
        <v>102</v>
      </c>
      <c r="F1" s="37" t="s">
        <v>103</v>
      </c>
      <c r="G1" s="38" t="s">
        <v>104</v>
      </c>
      <c r="H1" s="79" t="s">
        <v>105</v>
      </c>
      <c r="I1" s="79" t="s">
        <v>106</v>
      </c>
      <c r="J1" s="81" t="s">
        <v>107</v>
      </c>
      <c r="K1" s="82" t="s">
        <v>108</v>
      </c>
    </row>
    <row r="2" spans="1:11" ht="18.75">
      <c r="A2" s="8">
        <v>2025</v>
      </c>
      <c r="B2" s="8" t="s">
        <v>109</v>
      </c>
      <c r="C2" s="64">
        <v>24558499</v>
      </c>
      <c r="D2" s="64">
        <v>26810999</v>
      </c>
      <c r="E2" s="67">
        <v>23032417</v>
      </c>
      <c r="F2" s="69">
        <f t="shared" ref="F2:F7" si="0">(C2-E2)/ABS(E2)</f>
        <v>6.6258004967520337E-2</v>
      </c>
      <c r="G2" s="63">
        <f>(D2-E2)/ABS(E2)</f>
        <v>0.16405494916143626</v>
      </c>
      <c r="H2" s="39">
        <v>27141610</v>
      </c>
      <c r="I2" s="39">
        <v>29055430</v>
      </c>
      <c r="J2" s="80">
        <f>(H2-E2)/ABS(E2)</f>
        <v>0.17840910921333181</v>
      </c>
      <c r="K2" s="22">
        <f>(I2-E2)/ABS(E2)</f>
        <v>0.26150156103894784</v>
      </c>
    </row>
    <row r="3" spans="1:11" ht="18.75">
      <c r="A3" s="8">
        <v>2025</v>
      </c>
      <c r="B3" s="21" t="s">
        <v>110</v>
      </c>
      <c r="C3" s="64">
        <v>27313978</v>
      </c>
      <c r="D3" s="66">
        <v>27346035</v>
      </c>
      <c r="E3" s="70"/>
      <c r="F3" s="71"/>
      <c r="G3" s="71"/>
      <c r="H3" s="71"/>
      <c r="I3" s="71"/>
      <c r="J3" s="71"/>
      <c r="K3" s="72"/>
    </row>
    <row r="4" spans="1:11" ht="18.75">
      <c r="A4" s="8">
        <v>2025</v>
      </c>
      <c r="B4" s="21" t="s">
        <v>111</v>
      </c>
      <c r="C4" s="64">
        <v>27800663</v>
      </c>
      <c r="D4" s="66">
        <v>27959693</v>
      </c>
      <c r="E4" s="73"/>
      <c r="F4" s="65"/>
      <c r="G4" s="65"/>
      <c r="H4" s="65"/>
      <c r="I4" s="65"/>
      <c r="J4" s="65"/>
      <c r="K4" s="74"/>
    </row>
    <row r="5" spans="1:11" ht="18.75">
      <c r="A5" s="8">
        <v>2025</v>
      </c>
      <c r="B5" s="21" t="s">
        <v>112</v>
      </c>
      <c r="C5" s="64">
        <v>28721598</v>
      </c>
      <c r="D5" s="66">
        <v>28312937</v>
      </c>
      <c r="E5" s="73"/>
      <c r="F5" s="65"/>
      <c r="G5" s="65"/>
      <c r="H5" s="65"/>
      <c r="I5" s="65"/>
      <c r="J5" s="65"/>
      <c r="K5" s="74"/>
    </row>
    <row r="6" spans="1:11" ht="18.75">
      <c r="A6" s="8">
        <v>2025</v>
      </c>
      <c r="B6" s="21" t="s">
        <v>113</v>
      </c>
      <c r="C6" s="64">
        <v>28795635</v>
      </c>
      <c r="D6" s="66">
        <v>26684815</v>
      </c>
      <c r="E6" s="73"/>
      <c r="F6" s="65"/>
      <c r="G6" s="65"/>
      <c r="H6" s="65"/>
      <c r="I6" s="65"/>
      <c r="J6" s="65"/>
      <c r="K6" s="74"/>
    </row>
    <row r="7" spans="1:11" ht="18.75">
      <c r="A7" s="8">
        <v>2025</v>
      </c>
      <c r="B7" s="21" t="s">
        <v>114</v>
      </c>
      <c r="C7" s="64">
        <v>27729464</v>
      </c>
      <c r="D7" s="66">
        <v>26677810</v>
      </c>
      <c r="E7" s="73"/>
      <c r="F7" s="65"/>
      <c r="G7" s="65"/>
      <c r="H7" s="65"/>
      <c r="I7" s="65"/>
      <c r="J7" s="65"/>
      <c r="K7" s="74"/>
    </row>
    <row r="8" spans="1:11" ht="18.75">
      <c r="A8" s="8">
        <v>2025</v>
      </c>
      <c r="B8" s="21" t="s">
        <v>115</v>
      </c>
      <c r="C8" s="34"/>
      <c r="D8" s="66">
        <v>19309340</v>
      </c>
      <c r="E8" s="73"/>
      <c r="F8" s="65"/>
      <c r="G8" s="68"/>
      <c r="H8" s="65"/>
      <c r="I8" s="65"/>
      <c r="J8" s="65"/>
      <c r="K8" s="74"/>
    </row>
    <row r="9" spans="1:11" ht="18.75">
      <c r="A9" s="8">
        <v>2026</v>
      </c>
      <c r="B9" s="21" t="s">
        <v>116</v>
      </c>
      <c r="C9" s="35"/>
      <c r="D9" s="66">
        <v>29047535</v>
      </c>
      <c r="E9" s="73"/>
      <c r="F9" s="65"/>
      <c r="G9" s="68"/>
      <c r="H9" s="65"/>
      <c r="I9" s="65"/>
      <c r="J9" s="65"/>
      <c r="K9" s="74"/>
    </row>
    <row r="10" spans="1:11" ht="18.75">
      <c r="A10" s="8">
        <v>2026</v>
      </c>
      <c r="B10" s="21" t="s">
        <v>111</v>
      </c>
      <c r="C10" s="35"/>
      <c r="D10" s="66">
        <v>28635109</v>
      </c>
      <c r="E10" s="73"/>
      <c r="F10" s="65"/>
      <c r="G10" s="68"/>
      <c r="H10" s="65"/>
      <c r="I10" s="65"/>
      <c r="J10" s="65"/>
      <c r="K10" s="74"/>
    </row>
    <row r="11" spans="1:11" ht="18.75">
      <c r="A11" s="8">
        <v>2026</v>
      </c>
      <c r="B11" s="21" t="s">
        <v>112</v>
      </c>
      <c r="C11" s="35"/>
      <c r="D11" s="66">
        <v>27625474</v>
      </c>
      <c r="E11" s="73"/>
      <c r="F11" s="65"/>
      <c r="G11" s="68"/>
      <c r="H11" s="65"/>
      <c r="I11" s="65"/>
      <c r="J11" s="65"/>
      <c r="K11" s="74"/>
    </row>
    <row r="12" spans="1:11" ht="18.75">
      <c r="A12" s="8">
        <v>2026</v>
      </c>
      <c r="B12" s="21" t="s">
        <v>113</v>
      </c>
      <c r="C12" s="35"/>
      <c r="D12" s="66">
        <v>26450681</v>
      </c>
      <c r="E12" s="73"/>
      <c r="F12" s="65"/>
      <c r="G12" s="68"/>
      <c r="H12" s="65"/>
      <c r="I12" s="65"/>
      <c r="J12" s="65"/>
      <c r="K12" s="74"/>
    </row>
    <row r="13" spans="1:11" ht="18.75">
      <c r="A13" s="8">
        <v>2026</v>
      </c>
      <c r="B13" s="21" t="s">
        <v>114</v>
      </c>
      <c r="C13" s="36"/>
      <c r="D13" s="66">
        <v>25949981</v>
      </c>
      <c r="E13" s="75"/>
      <c r="F13" s="76"/>
      <c r="G13" s="77"/>
      <c r="H13" s="76"/>
      <c r="I13" s="76"/>
      <c r="J13" s="76"/>
      <c r="K13" s="78"/>
    </row>
  </sheetData>
  <phoneticPr fontId="9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2025-07-12T18:23:40Z</dcterms:created>
  <dcterms:modified xsi:type="dcterms:W3CDTF">2025-07-30T22:34:49Z</dcterms:modified>
  <cp:category/>
  <cp:contentStatus/>
</cp:coreProperties>
</file>