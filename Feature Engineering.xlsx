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ka/Desktop/"/>
    </mc:Choice>
  </mc:AlternateContent>
  <xr:revisionPtr revIDLastSave="0" documentId="13_ncr:1_{F7B2F224-9A4F-F240-9A11-88B33D25ADCE}" xr6:coauthVersionLast="47" xr6:coauthVersionMax="47" xr10:uidLastSave="{00000000-0000-0000-0000-000000000000}"/>
  <bookViews>
    <workbookView xWindow="-80" yWindow="500" windowWidth="26680" windowHeight="16420" activeTab="5" xr2:uid="{32CC694F-9792-F845-A0E2-B6C00E8A8AE4}"/>
  </bookViews>
  <sheets>
    <sheet name="July 13" sheetId="1" r:id="rId1"/>
    <sheet name="July 20" sheetId="2" r:id="rId2"/>
    <sheet name="July 27" sheetId="3" r:id="rId3"/>
    <sheet name="July 29" sheetId="4" r:id="rId4"/>
    <sheet name="July 29 (report)" sheetId="5" r:id="rId5"/>
    <sheet name="August 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5" l="1"/>
</calcChain>
</file>

<file path=xl/sharedStrings.xml><?xml version="1.0" encoding="utf-8"?>
<sst xmlns="http://schemas.openxmlformats.org/spreadsheetml/2006/main" count="588" uniqueCount="173">
  <si>
    <t>Change?</t>
  </si>
  <si>
    <t>Notebook URL</t>
  </si>
  <si>
    <t>https://app.powerbi.com/groups/7e373771-c704-4855-bb94-026ffb6be497/synapsenotebooks/24701f74-0e0c-4460-8de8-a5de9a022d73?experience=power-bi</t>
  </si>
  <si>
    <t>Notebook Title</t>
  </si>
  <si>
    <t>Overall Quantity Prediction with Custom Models</t>
  </si>
  <si>
    <t>Result</t>
  </si>
  <si>
    <t>Original</t>
  </si>
  <si>
    <t>🔹 OVERALL PERFORMANCE
--------------------------------------------------
  Best Method                   : SARIMA               (MAPE: 7.98%)
🔹 BEST METHOD METRICS
--------------------------------------------------
  Mean Absolute Error           : 1,590,755            (SARIMA performance)
  Root Mean Square Error        : 1,818,113            (SARIMA performance)
  Mean Absolute Percentage Error: 7.98%                (SARIMA performance)
  R-Squared                     : 0.7351               (SARIMA performance)
  Forecast Bias                 : 669,059              (SARIMA performance)
  Bias Percentage               : 3.04%                (SARIMA performance)
🔹 DATA COVERAGE
--------------------------------------------------
  Training Period               : 2015-01 to 2022-12   (96 months)
  Test Period                   : 2023-01 to 2023-12   (12 months)
🔹 MODEL INSIGHTS
--------------------------------------------------
  Method Improvement            : 9.97% MAPE reduction (SARIMA vs ARIMA)
🔹 METHOD PERFORMANCE
--------------------------------------------------
  ARIMA MAPE                    : 17.94%               (MAE: 3,122,364, R²: -0.5819)
  SARIMA MAPE                   : 7.98%                (MAE: 1,590,755, R²: 0.7351)
  Exponential Smoothing MAPE    : 12.04%               (MAE: 2,350,582, R²: 0.3720)
  Prophet MAPE                  : 15.59%               (MAE: 2,952,880, R²: -0.1834)
  Ensemble MAPE                 : 14.59%               (MAE: 2,735,018, R²: -0.0376)
🔹 STATISTICAL TESTS
--------------------------------------------------
  Residuals Normality           : Normal               (Shapiro-Wilk p-value: 0.4121)
  Mean Absolute Deviation       : 1,986,271            (Residuals spread measure)
🔹 DIRECTIONAL ANALYSIS
--------------------------------------------------
  Directional Accuracy          : 36.4%                (Correct direction prediction rate)
🔹 FORECAST CHARACTERISTICS
--------------------------------------------------
  Training Data Mean            : 26,260,452           (Average monthly quantity in training)
  Test Data Mean                : 22,044,286           (Average monthly quantity in test period)
  Ensemble Forecast Mean        : 24,623,472           (Average monthly forecast)
================================================================================
📊 Complete backtesting summary exported to: backtesting_summary_report.csv
🎯 Overall forecasting backtesting analysis completed successfully!
📋 FINAL BACKTESTING RESULTS:
               Method  MAPE        MAE    R2  Bias_Percent
                ARIMA 17.94 3122363.97 -0.58         12.04
               SARIMA  7.98 1590754.96  0.74          3.04
Exponential Smoothing 12.04 2350581.51  0.37         10.66
              Prophet 15.59 2952880.06 -0.18         12.45
             Ensemble 14.59 2735017.95 -0.04         11.70
🔍 KEY INSIGHTS:
  • Best performing method: SARIMA with 7.98% MAPE
  • Test period covered: 12 months
  • Training period: 96 months
  • Ensemble forecast over-predicts by 2,579,186 units on average</t>
  </si>
  <si>
    <t>🔹 OVERALL PERFORMANCE
--------------------------------------------------
  Best Method                   : SARIMA               (MAPE: 8.07%)
🔹 BEST METHOD METRICS
--------------------------------------------------
  Mean Absolute Error           : 1,583,508            (SARIMA performance)
  Root Mean Square Error        : 1,831,474            (SARIMA performance)
  Mean Absolute Percentage Error: 8.07%                (SARIMA performance)
  R-Squared                     : 0.7312               (SARIMA performance)
  Forecast Bias                 : 824,837              (SARIMA performance)
  Bias Percentage               : 3.74%                (SARIMA performance)
🔹 DATA COVERAGE
--------------------------------------------------
  Training Period               : 2015-01 to 2022-12   (96 months)
  Test Period                   : 2023-01 to 2023-12   (12 months)
🔹 MODEL INSIGHTS
--------------------------------------------------
  Method Improvement            : 9.12% MAPE reduction (SARIMA vs ARIMA)
🔹 METHOD PERFORMANCE
--------------------------------------------------
  ARIMA MAPE                    : 17.20%               (MAE: 3,565,705, R²: -0.3730)
  SARIMA MAPE                   : 8.07%                (MAE: 1,583,508, R²: 0.7312)
  Exponential Smoothing MAPE    : 12.04%               (MAE: 2,350,582, R²: 0.3720)
  Prophet MAPE                  : 16.02%               (MAE: 3,038,325, R²: -0.2064)
🔹 STATISTICAL TESTS
--------------------------------------------------
  Residuals Normality           : Normal               (Shapiro-Wilk p-value: 1.0000)
  Mean Absolute Deviation       : nan                  (Residuals spread measure)
🔹 DIRECTIONAL ANALYSIS
--------------------------------------------------
  Directional Accuracy          : 0.0%                 (Correct direction prediction rate)
🔹 FORECAST CHARACTERISTICS
--------------------------------------------------
  Training Data Mean            : 26,260,452           (Average monthly quantity in training)
  Test Data Mean                : 22,044,286           (Average monthly quantity in test period)
  Ensemble Forecast Mean        : nan                  (Average monthly forecast)
================================================================================
📊 Complete backtesting summary exported to: backtesting_summary_report.csv
🎯 Overall forecasting backtesting analysis completed successfully!
📋 FINAL BACKTESTING RESULTS:
               Method  MAPE        MAE    R2  Bias_Percent
                ARIMA 17.20 3565705.25 -0.37         -9.79
               SARIMA  8.07 1583508.20  0.73          3.74
Exponential Smoothing 12.04 2350581.51  0.37         10.66
              Prophet 16.02 3038325.46 -0.21         13.60
🔍 KEY INSIGHTS:
  • Best performing method: SARIMA with 8.07% MAPE
  • Test period covered: 12 months
  • Training period: 96 months
  • Ensemble forecast is unbiased by nan units on average</t>
  </si>
  <si>
    <t>🔹 OVERALL PERFORMANCE -------------------------------------------------- Best Method : SARIMA (MAPE: 9.83%) 🔹 BEST METHOD METRICS -------------------------------------------------- Mean Absolute Error : 2,126,619 (SARIMA performance) Root Mean Square Error : 2,691,436 (SARIMA performance) Mean Absolute Percentage Error: 9.83% (SARIMA performance) R-Squared : 0.4196 (SARIMA performance) Forecast Bias : -1,301,983 (SARIMA performance) Bias Percentage : -5.91% (SARIMA performance) 🔹 DATA COVERAGE -------------------------------------------------- Training Period : 2015-01 to 2022-12 (96 months) Test Period : 2023-01 to 2023-12 (12 months) 🔹 MODEL INSIGHTS -------------------------------------------------- Method Improvement : 7.37% MAPE reduction (SARIMA vs ARIMA) 🔹 METHOD PERFORMANCE -------------------------------------------------- ARIMA MAPE : 17.20% (MAE: 3,565,705, R²: -0.3730) SARIMA MAPE : 9.83% (MAE: 2,126,619, R²: 0.4196) Exponential Smoothing MAPE : 12.04% (MAE: 2,350,582, R²: 0.3720) Prophet MAPE : 14.40% (MAE: 2,705,248, R²: -0.0229) 🔹 STATISTICAL TESTS -------------------------------------------------- Residuals Normality : Normal (Shapiro-Wilk p-value: 1.0000) Mean Absolute Deviation : nan (Residuals spread measure) 🔹 DIRECTIONAL ANALYSIS -------------------------------------------------- Directional Accuracy : 0.0% (Correct direction prediction rate) 🔹 FORECAST CHARACTERISTICS -------------------------------------------------- Training Data Mean : 26,260,452 (Average monthly quantity in training) Test Data Mean : 22,044,286 (Average monthly quantity in test period) Ensemble Forecast Mean : nan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17.20 3565705.25 -0.37 -9.79 SARIMA 9.83 2126618.81 0.42 -5.91 Exponential Smoothing 12.04 2350581.51 0.37 10.66 Prophet 14.40 2705247.98 -0.02 11.15 🔍 KEY INSIGHTS: • Best performing method: SARIMA with 9.83% MAPE • Test period covered: 12 months • Training period: 96 months • Ensemble forecast is unbiased by nan units on average</t>
  </si>
  <si>
    <t>HICP</t>
  </si>
  <si>
    <t>Unemployment Rate</t>
  </si>
  <si>
    <t>New Manufacturing Orders</t>
  </si>
  <si>
    <t>🔹 OVERALL PERFORMANCE -------------------------------------------------- Best Method : SARIMA (MAPE: 7.01%) 🔹 BEST METHOD METRICS -------------------------------------------------- Mean Absolute Error : 1,447,461 (SARIMA performance) Root Mean Square Error : 1,827,366 (SARIMA performance) Mean Absolute Percentage Error: 7.01% (SARIMA performance) R-Squared : 0.7324 (SARIMA performance) Forecast Bias : -248,347 (SARIMA performance) Bias Percentage : -1.13% (SARIMA performance) 🔹 DATA COVERAGE -------------------------------------------------- Training Period : 2015-01 to 2022-12 (96 months) Test Period : 2023-01 to 2023-12 (12 months) 🔹 MODEL INSIGHTS -------------------------------------------------- Method Improvement : 10.19% MAPE reduction (SARIMA vs ARIMA) 🔹 METHOD PERFORMANCE -------------------------------------------------- ARIMA MAPE : 17.20% (MAE: 3,565,705, R²: -0.3730) SARIMA MAPE : 7.01% (MAE: 1,447,461, R²: 0.7324) Exponential Smoothing MAPE : 12.04% (MAE: 2,350,582, R²: 0.3720) Prophet MAPE : 14.79% (MAE: 2,785,233, R²: -0.1001) 🔹 STATISTICAL TESTS -------------------------------------------------- Residuals Normality : Normal (Shapiro-Wilk p-value: 1.0000) Mean Absolute Deviation : nan (Residuals spread measure) 🔹 DIRECTIONAL ANALYSIS -------------------------------------------------- Directional Accuracy : 0.0% (Correct direction prediction rate) 🔹 FORECAST CHARACTERISTICS -------------------------------------------------- Training Data Mean : 26,260,452 (Average monthly quantity in training) Test Data Mean : 22,044,286 (Average monthly quantity in test period) Ensemble Forecast Mean : nan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17.20 3565705.25 -0.37 -9.79 SARIMA 7.01 1447460.76 0.73 -1.13 Exponential Smoothing 12.04 2350581.51 0.37 10.66 Prophet 14.79 2785232.62 -0.10 11.30 🔍 KEY INSIGHTS: • Best performing method: SARIMA with 7.01% MAPE • Test period covered: 12 months • Training period: 96 months • Ensemble forecast is unbiased by nan units on average</t>
  </si>
  <si>
    <t>Crude Oil Brent Europe Price in EUR</t>
  </si>
  <si>
    <t>🔹 OVERALL PERFORMANCE -------------------------------------------------- Best Method : SARIMA (MAPE: 9.15%) 🔹 BEST METHOD METRICS -------------------------------------------------- Mean Absolute Error : 1,809,741 (SARIMA performance) Root Mean Square Error : 2,106,732 (SARIMA performance) Mean Absolute Percentage Error: 9.15% (SARIMA performance) R-Squared : 0.6444 (SARIMA performance) Forecast Bias : 1,254,568 (SARIMA performance) Bias Percentage : 5.69% (SARIMA performance) 🔹 DATA COVERAGE -------------------------------------------------- Training Period : 2015-01 to 2022-12 (96 months) Test Period : 2023-01 to 2023-12 (12 months) 🔹 MODEL INSIGHTS -------------------------------------------------- Method Improvement : 8.05% MAPE reduction (SARIMA vs ARIMA) 🔹 METHOD PERFORMANCE -------------------------------------------------- ARIMA MAPE : 17.20% (MAE: 3,565,705, R²: -0.3730) SARIMA MAPE : 9.15% (MAE: 1,809,741, R²: 0.6444) Exponential Smoothing MAPE : 12.04% (MAE: 2,350,582, R²: 0.3720) Prophet MAPE : 15.35% (MAE: 2,902,217, R²: -0.1531) 🔹 STATISTICAL TESTS -------------------------------------------------- Residuals Normality : Normal (Shapiro-Wilk p-value: 1.0000) Mean Absolute Deviation : nan (Residuals spread measure) 🔹 DIRECTIONAL ANALYSIS -------------------------------------------------- Directional Accuracy : 0.0% (Correct direction prediction rate) 🔹 FORECAST CHARACTERISTICS -------------------------------------------------- Training Data Mean : 26,260,452 (Average monthly quantity in training) Test Data Mean : 22,044,286 (Average monthly quantity in test period) Ensemble Forecast Mean : nan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17.20 3565705.25 -0.37 -9.79 SARIMA 9.15 1809741.36 0.64 5.69 Exponential Smoothing 12.04 2350581.51 0.37 10.66 Prophet 15.35 2902216.59 -0.15 12.13 🔍 KEY INSIGHTS: • Best performing method: SARIMA with 9.15% MAPE • Test period covered: 12 months • Training period: 96 months • Ensemble forecast is unbiased by nan units on average</t>
  </si>
  <si>
    <t>CPI</t>
  </si>
  <si>
    <t>🔹 OVERALL PERFORMANCE -------------------------------------------------- Best Method : SARIMA (MAPE: 10.68%) 🔹 BEST METHOD METRICS -------------------------------------------------- Mean Absolute Error : 2,364,588 (SARIMA performance) Root Mean Square Error : 3,019,168 (SARIMA performance) Mean Absolute Percentage Error: 10.68% (SARIMA performance) R-Squared : 0.2696 (SARIMA performance) Forecast Bias : -1,454,969 (SARIMA performance) Bias Percentage : -6.60% (SARIMA performance) 🔹 DATA COVERAGE -------------------------------------------------- Training Period : 2015-01 to 2022-12 (96 months) Test Period : 2023-01 to 2023-12 (12 months) 🔹 MODEL INSIGHTS -------------------------------------------------- Method Improvement : 6.52% MAPE reduction (SARIMA vs ARIMA) 🔹 METHOD PERFORMANCE -------------------------------------------------- ARIMA MAPE : 17.20% (MAE: 3,565,705, R²: -0.3730) SARIMA MAPE : 10.68% (MAE: 2,364,588, R²: 0.2696) Exponential Smoothing MAPE : 12.04% (MAE: 2,350,582, R²: 0.3720) Prophet MAPE : 15.68% (MAE: 2,969,390, R²: -0.1936) 🔹 STATISTICAL TESTS -------------------------------------------------- Residuals Normality : Normal (Shapiro-Wilk p-value: 1.0000) Mean Absolute Deviation : nan (Residuals spread measure) 🔹 DIRECTIONAL ANALYSIS -------------------------------------------------- Directional Accuracy : 0.0% (Correct direction prediction rate) 🔹 FORECAST CHARACTERISTICS -------------------------------------------------- Training Data Mean : 26,260,452 (Average monthly quantity in training) Test Data Mean : 22,044,286 (Average monthly quantity in test period) Ensemble Forecast Mean : nan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17.20 3565705.25 -0.37 -9.79 SARIMA 10.68 2364588.25 0.27 -6.60 Exponential Smoothing 12.04 2350581.51 0.37 10.66 Prophet 15.68 2969389.69 -0.19 12.63 🔍 KEY INSIGHTS: • Best performing method: SARIMA with 10.68% MAPE • Test period covered: 12 months • Training period: 96 months • Ensemble forecast is unbiased by nan units on average</t>
  </si>
  <si>
    <t>Car Registration</t>
  </si>
  <si>
    <t>🔹 OVERALL PERFORMANCE -------------------------------------------------- Best Method : SARIMA (MAPE: 9.48%) 🔹 BEST METHOD METRICS -------------------------------------------------- Mean Absolute Error : 1,863,789 (SARIMA performance) Root Mean Square Error : 2,193,357 (SARIMA performance) Mean Absolute Percentage Error: 9.48% (SARIMA performance) R-Squared : 0.6145 (SARIMA performance) Forecast Bias : 1,376,699 (SARIMA performance) Bias Percentage : 6.25% (SARIMA performance) 🔹 DATA COVERAGE -------------------------------------------------- Training Period : 2015-01 to 2022-12 (96 months) Test Period : 2023-01 to 2023-12 (12 months) 🔹 MODEL INSIGHTS -------------------------------------------------- Method Improvement : 9.45% MAPE reduction (SARIMA vs Prophet) 🔹 METHOD PERFORMANCE -------------------------------------------------- ARIMA MAPE : 17.20% (MAE: 3,565,705, R²: -0.3730) SARIMA MAPE : 9.48% (MAE: 1,863,789, R²: 0.6145) Exponential Smoothing MAPE : 12.04% (MAE: 2,350,582, R²: 0.3720) Prophet MAPE : 18.94% (MAE: 3,651,172, R²: -0.6470) 🔹 STATISTICAL TESTS -------------------------------------------------- Residuals Normality : Normal (Shapiro-Wilk p-value: 1.0000) Mean Absolute Deviation : nan (Residuals spread measure) 🔹 DIRECTIONAL ANALYSIS -------------------------------------------------- Directional Accuracy : 0.0% (Correct direction prediction rate) 🔹 FORECAST CHARACTERISTICS -------------------------------------------------- Training Data Mean : 26,260,452 (Average monthly quantity in training) Test Data Mean : 22,044,286 (Average monthly quantity in test period) Ensemble Forecast Mean : nan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17.20 3565705.25 -0.37 -9.79 SARIMA 9.48 1863789.31 0.61 6.25 Exponential Smoothing 12.04 2350581.51 0.37 10.66 Prophet 18.94 3651172.39 -0.65 16.40 🔍 KEY INSIGHTS: • Best performing method: SARIMA with 9.48% MAPE • Test period covered: 12 months • Training period: 96 months • Ensemble forecast is unbiased by nan units on average</t>
  </si>
  <si>
    <t>https://app.powerbi.com/groups/7e373771-c704-4855-bb94-026ffb6be497/synapsenotebooks/930ee5d2-f70e-4990-8c2a-d58dd2507c06?experience=power-bi&amp;clientSideAuth=0</t>
  </si>
  <si>
    <t>My Notebook (Title: Auto ML Notebook -  7167 - CS - 2015 to 2024 Qty data)</t>
  </si>
  <si>
    <t>https://app.powerbi.com/groups/7e373771-c704-4855-bb94-026ffb6be497/synapsenotebooks/2893a0c7-2632-4f95-84df-1054f7b60a78?experience=power-bi</t>
  </si>
  <si>
    <t>https://app.fabric.microsoft.com/groups/7e373771-c704-4855-bb94-026ffb6be497/synapsenotebooks/2f78eb88-f7fb-47cc-852c-a7f5188423a8?experience=power-bi</t>
  </si>
  <si>
    <t>My Notebook (Title: Quantity Prediction from Future - 7/14/2025 - #2 Feature Engineering - Chika)</t>
  </si>
  <si>
    <t>Chris Webb - Quantity Prediction from Future - 7/14/2025</t>
  </si>
  <si>
    <t>🔹 OVERALL PERFORMANCE -------------------------------------------------- Best Method : Ensemble (MAPE: 11.31%) 🔹 BEST METHOD METRICS -------------------------------------------------- Mean Absolute Error : 2,110,989 (Ensemble performance) Root Mean Square Error : 2,835,483 (Ensemble performance) Mean Absolute Percentage Error: 11.31% (Ensemble performance) R-Squared : 0.4033 (Ensemble performance) Forecast Bias : 1,111,851 (Ensemble performance) Bias Percentage : 5.01%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10.80% MAPE reduction (Ensemble vs SARIMA) 🔹 METHOD PERFORMANCE -------------------------------------------------- ARIMA MAPE : 18.33% (MAE: 3,221,752, R²: -0.5042) SARIMA MAPE : 22.10% (MAE: 4,943,960, R²: -1.7439) Exponential Smoothing MAPE : 11.97% (MAE: 2,317,423, R²: 0.4031) Prophet MAPE : 12.69% (MAE: 2,388,803, R²: 0.2786) Ensemble MAPE : 11.31% (MAE: 2,110,989, R²: 0.4033) 🔹 STATISTICAL TESTS -------------------------------------------------- Residuals Normality : Normal (Shapiro-Wilk p-value: 0.6373) Mean Absolute Deviation : 2,087,348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23,307,835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22.10 4943959.54 -1.74 -20.78 Exponential Smoothing 11.97 2317422.63 0.40 10.44 Prophet 12.69 2388803.07 0.28 6.19 Ensemble 11.31 2110989.43 0.40 5.01 🔍 KEY INSIGHTS: • Best performing method: Ensemble with 11.31% MAPE • Test period covered: 12 months • Training period: 96 months • Ensemble forecast over-predicts by 1,111,851 units on average</t>
  </si>
  <si>
    <t>🔹 OVERALL PERFORMANCE
--------------------------------------------------
  Best Method                   : Ensemble             (MAPE: 11.86%)
🔹 BEST METHOD METRICS
--------------------------------------------------
  Mean Absolute Error           : 2,201,615            (Ensemble performance)
  Root Mean Square Error        : 2,925,446            (Ensemble performance)
  Mean Absolute Percentage Error: 11.86%               (Ensemble performance)
  R-Squared                     : 0.3648               (Ensemble performance)
  Forecast Bias                 : 1,392,401            (Ensemble performance)
  Bias Percentage               : 6.27%                (Ensemble performance)
🔹 DATA COVERAGE
--------------------------------------------------
  Training Period               : 2015-01 to 2022-12   (96 months)
  Test Period                   : 2023-01 to 2023-12   (12 months)
🔹 MODEL INSIGHTS
--------------------------------------------------
  Method Improvement            : 10.55% MAPE reduction (Ensemble vs SARIMA)
🔹 METHOD PERFORMANCE
--------------------------------------------------
  ARIMA MAPE                    : 18.33%               (MAE: 3,221,752, R²: -0.5042)
  SARIMA MAPE                   : 22.41%               (MAE: 5,012,616, R²: -1.8161)
  Exponential Smoothing MAPE    : 11.97%               (MAE: 2,317,423, R²: 0.4031)
  Prophet MAPE                  : 13.40%               (MAE: 2,508,347, R²: 0.2144)
  Ensemble MAPE                 : 11.86%               (MAE: 2,201,615, R²: 0.3648)
🔹 STATISTICAL TESTS
--------------------------------------------------
  Residuals Normality           : Normal               (Shapiro-Wilk p-value: 0.5905)
  Mean Absolute Deviation       : 2,048,323            (Residuals spread measure)
🔹 DIRECTIONAL ANALYSIS
--------------------------------------------------
  Directional Accuracy          : 36.4%                (Correct direction prediction rate)
🔹 FORECAST CHARACTERISTICS
--------------------------------------------------
  Training Data Mean            : 26,292,935           (Average monthly quantity in training)
  Test Data Mean                : 22,195,984           (Average monthly quantity in test period)
  Ensemble Forecast Mean        : 23,588,385           (Average monthly forecast)
================================================================================
📊 Complete backtesting summary exported to: backtesting_summary_report.csv
🎯 Overall forecasting backtesting analysis completed successfully!
📋 FINAL BACKTESTING RESULTS:
               Method  MAPE        MAE    R2  Bias_Percent
                ARIMA 18.33 3221752.09 -0.50         11.56
               SARIMA 22.41 5012616.43 -1.82        -21.10
Exponential Smoothing 11.97 2317422.63  0.40         10.44
              Prophet 13.40 2508347.13  0.21          7.76
             Ensemble 11.86 2201615.13  0.36          6.27
🔍 KEY INSIGHTS:
  • Best performing method: Ensemble with 11.86% MAPE
  • Test period covered: 12 months
  • Training period: 96 months
  • Ensemble forecast over-predicts by 1,392,401 units on average</t>
  </si>
  <si>
    <t>FMCG_Production_UTF8.csv (Overall Monthly Average)</t>
  </si>
  <si>
    <t>1: Calculate the average production index for each country per month (Ex: Germany &gt; Jan total, Feb total, March total)
2: Calculate the overall average production index for each month (Jan average = Germany's Jan total + another country's Jan total, .../ country number.)
3: Merge the overall average back into the main dataset  (Jan Total = Jan average)</t>
  </si>
  <si>
    <t>FMCG - Production Index (Germany).csv</t>
  </si>
  <si>
    <t xml:space="preserve">New Data </t>
  </si>
  <si>
    <t>https://dkomplex.sharepoint.com/:x:/r/sites/dHUNTR/_layouts/15/Doc.aspx?sourcedoc=%7B494ca7d3-ce45-409d-a73b-232de698c820%7D&amp;action=edit&amp;wdPreviousSession=0888a355-146c-a65f-3e3a-f9bc0f70f3d2</t>
  </si>
  <si>
    <t>Baltic Dry Index Historical Results Price Data.csv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</si>
  <si>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6.36% MAPE reduction (Exponential Smoothing vs ARIMA) 🔹 METHOD PERFORMANCE -------------------------------------------------- ARIMA MAPE : 18.33% (MAE: 3,221,752, R²: -0.5042) SARIMA MAPE : 17.24% (MAE: 3,884,862, R²: -0.6330) Exponential Smoothing MAPE : 11.97% (MAE: 2,317,423, R²: 0.4031) Prophet MAPE : 13.56% (MAE: 2,550,284, R²: 0.1546) Ensemble MAPE : 12.27% (MAE: 2,288,529, R²: 0.2914) 🔹 STATISTICAL TESTS -------------------------------------------------- Residuals Normality : Normal (Shapiro-Wilk p-value: 0.5708) Mean Absolute Deviation : 2,164,398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23,772,708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17.24 3884862.09 -0.63 -11.27 Exponential Smoothing 11.97 2317422.63 0.40 10.44 Prophet 13.56 2550284.17 0.15 8.00 Ensemble 12.27 2288529.23 0.29 7.10 🔍 KEY INSIGHTS: • Best performing method: Exponential Smoothing with 11.97% MAPE • Test period covered: 12 months • Training period: 96 months • Ensemble forecast over-predicts by 1,576,725 units on average</t>
  </si>
  <si>
    <t>🔹 OVERALL PERFORMANCE -------------------------------------------------- Best Method : Ensemble (MAPE: 11.06%) 🔹 BEST METHOD METRICS -------------------------------------------------- Mean Absolute Error : 2,076,042 (Ensemble performance) Root Mean Square Error : 2,795,629 (Ensemble performance) Mean Absolute Percentage Error: 11.06% (Ensemble performance) R-Squared : 0.4200 (Ensemble performance) Forecast Bias : 948,214 (Ensemble performance) Bias Percentage : 4.27%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10.85% MAPE reduction (Ensemble vs SARIMA) 🔹 METHOD PERFORMANCE -------------------------------------------------- ARIMA MAPE : 18.33% (MAE: 3,221,752, R²: -0.5042) SARIMA MAPE : 21.91% (MAE: 4,846,306, R²: -1.7018) Exponential Smoothing MAPE : 11.97% (MAE: 2,317,423, R²: 0.4031) Prophet MAPE : 12.49% (MAE: 2,372,458, R²: 0.2994) Ensemble MAPE : 11.06% (MAE: 2,076,042, R²: 0.4200) 🔹 STATISTICAL TESTS -------------------------------------------------- Residuals Normality : Normal (Shapiro-Wilk p-value: 0.6680) Mean Absolute Deviation : 2,093,924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23,144,198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21.91 4846306.33 -1.70 -18.40 Exponential Smoothing 11.97 2317422.63 0.40 10.44 Prophet 12.49 2372458.48 0.30 5.09 Ensemble 11.06 2076042.01 0.42 4.27 🔍 KEY INSIGHTS: • Best performing method: Ensemble with 11.06% MAPE • Test period covered: 12 months • Training period: 96 months • Ensemble forecast over-predicts by 948,214 units on average</t>
  </si>
  <si>
    <t>Economic Activity.csv</t>
  </si>
  <si>
    <t>HICP (testing with this new model again)</t>
  </si>
  <si>
    <t>🔹 OVERALL PERFORMANCE -------------------------------------------------- Best Method : Ensemble (MAPE: 10.79%) 🔹 BEST METHOD METRICS -------------------------------------------------- Mean Absolute Error : 2,019,922 (Ensemble performance) Root Mean Square Error : 2,729,619 (Ensemble performance) Mean Absolute Percentage Error: 10.79% (Ensemble performance) R-Squared : 0.4470 (Ensemble performance) Forecast Bias : 953,305 (Ensemble performance) Bias Percentage : 4.29%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21.62% MAPE reduction (Ensemble vs SARIMA) 🔹 METHOD PERFORMANCE -------------------------------------------------- ARIMA MAPE : 18.33% (MAE: 3,221,752, R²: -0.5042) SARIMA MAPE : 32.42% (MAE: 7,003,255, R²: -4.3333) Exponential Smoothing MAPE : 11.97% (MAE: 2,317,423, R²: 0.4031) Prophet MAPE : 12.68% (MAE: 2,386,810, R²: 0.2797) Ensemble MAPE : 10.79% (MAE: 2,019,922, R²: 0.4470) 🔹 STATISTICAL TESTS -------------------------------------------------- Residuals Normality : Normal (Shapiro-Wilk p-value: 0.6203) Mean Absolute Deviation : 2,064,545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23,149,288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32.42 7003255.21 -4.33 -31.55 Exponential Smoothing 11.97 2317422.63 0.40 10.44 Prophet 12.68 2386809.70 0.28 6.17 Ensemble 10.79 2019922.30 0.45 4.29 🔍 KEY INSIGHTS: • Best performing method: Ensemble with 10.79% MAPE • Test period covered: 12 months • Training period: 96 months • Ensemble forecast over-predicts by 953,305 units on average</t>
  </si>
  <si>
    <t>🔹 OVERALL PERFORMANCE -------------------------------------------------- Best Method : Ensemble (MAPE: 11.08%) 🔹 BEST METHOD METRICS -------------------------------------------------- Mean Absolute Error : 2,075,130 (Ensemble performance) Root Mean Square Error : 2,790,294 (Ensemble performance) Mean Absolute Percentage Error: 11.08% (Ensemble performance) R-Squared : 0.4222 (Ensemble performance) Forecast Bias : 997,657 (Ensemble performance) Bias Percentage : 4.49%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14.02% MAPE reduction (Ensemble vs SARIMA) 🔹 METHOD PERFORMANCE -------------------------------------------------- ARIMA MAPE : 18.33% (MAE: 3,221,752, R²: -0.5042) SARIMA MAPE : 25.10% (MAE: 5,537,774, R²: -2.3928) Exponential Smoothing MAPE : 11.97% (MAE: 2,317,423, R²: 0.4031) Prophet MAPE : 12.58% (MAE: 2,374,423, R²: 0.2878) Ensemble MAPE : 11.08% (MAE: 2,075,130, R²: 0.4222) 🔹 STATISTICAL TESTS -------------------------------------------------- Residuals Normality : Normal (Shapiro-Wilk p-value: 0.6611) Mean Absolute Deviation : 2,096,903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23,193,640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25.10 5537773.79 -2.39 -23.72 Exponential Smoothing 11.97 2317422.63 0.40 10.44 Prophet 12.58 2374423.46 0.29 5.79 Ensemble 11.08 2075130.19 0.42 4.49 🔍 KEY INSIGHTS: • Best performing method: Ensemble with 11.08% MAPE • Test period covered: 12 months • Training period: 96 months • Ensemble forecast over-predicts by 997,657 units on average</t>
  </si>
  <si>
    <t>Consumer Confidence Indicator - European Countries.csv (Germany Only)</t>
  </si>
  <si>
    <t>Consumer Confidence Indicator - European Countries (All Countries)</t>
  </si>
  <si>
    <t>🔹 OVERALL PERFORMANCE -------------------------------------------------- Best Method : Ensemble (MAPE: 11.96%) 🔹 BEST METHOD METRICS -------------------------------------------------- Mean Absolute Error : 2,231,601 (Ensemble performance) Root Mean Square Error : 2,955,260 (Ensemble performance) Mean Absolute Percentage Error: 11.96% (Ensemble performance) R-Squared : 0.3518 (Ensemble performance) Forecast Bias : 1,407,139 (Ensemble performance) Bias Percentage : 6.34%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14.06% MAPE reduction (Ensemble vs SARIMA) 🔹 METHOD PERFORMANCE -------------------------------------------------- ARIMA MAPE : 18.33% (MAE: 3,221,752, R²: -0.5042) SARIMA MAPE : 26.02% (MAE: 5,789,796, R²: -2.7416) Exponential Smoothing MAPE : 11.97% (MAE: 2,317,423, R²: 0.4031) Prophet MAPE : 13.77% (MAE: 2,592,572, R²: 0.1715) Ensemble MAPE : 11.96% (MAE: 2,231,601, R²: 0.3518) 🔹 STATISTICAL TESTS -------------------------------------------------- Residuals Normality : Normal (Shapiro-Wilk p-value: 0.7286) Mean Absolute Deviation : 2,078,915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23,603,123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26.02 5789796.47 -2.74 -24.97 Exponential Smoothing 11.97 2317422.63 0.40 10.44 Prophet 13.77 2592571.67 0.17 8.15 Ensemble 11.96 2231601.07 0.35 6.34 🔍 KEY INSIGHTS: • Best performing method: Ensemble with 11.96% MAPE • Test period covered: 12 months • Training period: 96 months • Ensemble forecast over-predicts by 1,407,139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</si>
  <si>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10.02% MAPE reduction (Exponential Smoothing vs SARIMA) 🔹 METHOD PERFORMANCE -------------------------------------------------- ARIMA MAPE : 18.33% (MAE: 3,221,752, R²: -0.5042) SARIMA MAPE : 21.99% (MAE: 4,918,671, R²: -1.7172) Exponential Smoothing MAPE : 11.97% (MAE: 2,317,423, R²: 0.4031) Prophet MAPE : 14.29% (MAE: 2,686,084, R²: 0.1135) Ensemble MAPE : 12.61% (MAE: 2,350,703, R²: 0.2975) 🔹 STATISTICAL TESTS -------------------------------------------------- Residuals Normality : Normal (Shapiro-Wilk p-value: 0.7553) Mean Absolute Deviation : 2,067,927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23,870,897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21.99 4918670.86 -1.72 -20.65 Exponential Smoothing 11.97 2317422.63 0.40 10.44 Prophet 14.29 2686084.34 0.11 9.29 Ensemble 12.61 2350703.46 0.30 7.55 🔍 KEY INSIGHTS: • Best performing method: Exponential Smoothing with 11.97% MAPE • Test period covered: 12 months • Training period: 96 months • Ensemble forecast over-predicts by 1,674,913 units on average</t>
  </si>
  <si>
    <t>My Notebook (Title: Quantity Prediction from Future - 7/14/2025 - #4 Feature Engineering - Chika)</t>
  </si>
  <si>
    <t>https://app.powerbi.com/groups/7e373771-c704-4855-bb94-026ffb6be497/synapsenotebooks/fafe53c9-1e2d-448f-ae42-56698da59ef0?experience=power-bi</t>
  </si>
  <si>
    <t>2024-01 to 2024-12 (12 months)</t>
  </si>
  <si>
    <t xml:space="preserve">Test Period </t>
  </si>
  <si>
    <t>2023-01 to 2023-12 (12 months)</t>
  </si>
  <si>
    <t>2022-01 to 2022-12 (12 months)</t>
  </si>
  <si>
    <t>2021-01 to 2021-12 (12 months)</t>
  </si>
  <si>
    <t>🔹 OVERALL PERFORMANCE -------------------------------------------------- Best Method : Exponential Smoothing (MAPE: 8.37%) 🔹 BEST METHOD METRICS -------------------------------------------------- Mean Absolute Error : 2,268,422 (Exponential Smoothing performance) Root Mean Square Error : 2,892,300 (Exponential Smoothing performance) Mean Absolute Percentage Error: 8.37% (Exponential Smoothing performance) R-Squared : 0.3282 (Exponential Smoothing performance) Forecast Bias : 164,791 (Exponential Smoothing performance) Bias Percentage : 0.58% (Exponential Smoothing performance) 🔹 DATA COVERAGE -------------------------------------------------- Training Period : 2015-01 to 2020-12 (72 months) Test Period : 2021-01 to 2021-12 (12 months) 🔹 MODEL INSIGHTS -------------------------------------------------- Method Improvement : 9.43% MAPE reduction (Exponential Smoothing vs SARIMA) 🔹 METHOD PERFORMANCE -------------------------------------------------- ARIMA MAPE : 13.59% (MAE: 3,771,589, R²: -0.5494) SARIMA MAPE : 17.79% (MAE: 5,101,820, R²: -1.5225) Exponential Smoothing MAPE : 8.37% (MAE: 2,268,422, R²: 0.3282) Prophet MAPE : 10.32% (MAE: 3,038,871, R²: 0.0993) Ensemble MAPE : 10.41% (MAE: 3,062,179, R²: 0.0952) 🔹 STATISTICAL TESTS -------------------------------------------------- Residuals Normality : Normal (Shapiro-Wilk p-value: 0.1881) Mean Absolute Deviation : 2,120,835 (Residuals spread measure) 🔹 DIRECTIONAL ANALYSIS -------------------------------------------------- Directional Accuracy : 63.6%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26,345,093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17.79 5101820.38 -1.52 -17.88 Exponential Smoothing 8.37 2268422.13 0.33 0.58 Prophet 10.32 3038871.00 0.10 -7.35 Ensemble 10.41 3062179.20 0.10 -7.68 🔍 KEY INSIGHTS: • Best performing method: Exponential Smoothing with 8.37% MAPE • Test period covered: 12 months • Training period: 72 months • Ensemble forecast under-predicts by 2,190,181 units on average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</si>
  <si>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7.62% MAPE reduction (ARIMA vs SARIMA) 🔹 METHOD PERFORMANCE -------------------------------------------------- ARIMA MAPE : 13.56% (MAE: 2,987,179, R²: -0.1813) SARIMA MAPE : 21.18% (MAE: 5,097,922, R²: -1.4142) Exponential Smoothing MAPE : 18.89% (MAE: 4,363,871, R²: -0.9375) Prophet MAPE : 13.59% (MAE: 3,269,112, R²: -0.1462) Ensemble MAPE : 13.73% (MAE: 3,267,907, R²: -0.1081) 🔹 STATISTICAL TESTS -------------------------------------------------- Residuals Normality : Normal (Shapiro-Wilk p-value: 0.4236) Mean Absolute Deviation : 3,045,308 (Residuals spread measure) 🔹 DIRECTIONAL ANALYSIS -------------------------------------------------- Directional Accuracy : 36.4%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27,050,897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21.18 5097921.71 -1.41 16.97 Exponential Smoothing 18.89 4363871.12 -0.94 12.70 Prophet 13.59 3269112.11 -0.15 2.07 Ensemble 13.73 3267906.86 -0.11 3.93 🔍 KEY INSIGHTS: • Best performing method: ARIMA with 13.56% MAPE • Test period covered: 12 months • Training period: 84 months • Ensemble forecast over-predicts by 1,022,747 units on average</t>
  </si>
  <si>
    <t>🔹 OVERALL PERFORMANCE -------------------------------------------------- Best Method : SARIMA (MAPE: 8.06%) 🔹 BEST METHOD METRICS -------------------------------------------------- Mean Absolute Error : 1,781,429 (SARIMA performance) Root Mean Square Error : 2,252,748 (SARIMA performance) Mean Absolute Percentage Error: 8.06% (SARIMA performance) R-Squared : 0.5929 (SARIMA performance) Forecast Bias : 373,786 (SARIMA performance) Bias Percentage : 1.53%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17.18% MAPE reduction (SARIMA vs Exponential Smoothing) 🔹 METHOD PERFORMANCE -------------------------------------------------- ARIMA MAPE : 19.52% (MAE: 4,849,031, R²: -1.3093) SARIMA MAPE : 8.06% (MAE: 1,781,429, R²: 0.5929) Exponential Smoothing MAPE : 25.24% (MAE: 6,216,669, R²: -2.5822) Prophet MAPE : 20.34% (MAE: 4,985,226, R²: -1.2115) Ensemble MAPE : 19.13% (MAE: 4,726,305, R²: -0.9974) 🔹 STATISTICAL TESTS -------------------------------------------------- Residuals Normality : Non-normal (Shapiro-Wilk p-value: 0.0370) Mean Absolute Deviation : 2,036,826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20,261,878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8.06 1781429.26 0.59 1.53 Exponential Smoothing 25.24 6216669.06 -2.58 -24.51 Prophet 20.34 4985226.07 -1.21 -17.93 Ensemble 19.13 4726305.01 -1.00 -17.02 🔍 KEY INSIGHTS: • Best performing method: SARIMA with 8.06% MAPE • Test period covered: 12 months • Training period: 108 months • Ensemble forecast under-predicts by 4,156,725 units on average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</si>
  <si>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8.17% MAPE reduction (ARIMA vs SARIMA) 🔹 METHOD PERFORMANCE -------------------------------------------------- ARIMA MAPE : 13.56% (MAE: 2,987,179, R²: -0.1813) SARIMA MAPE : 21.73% (MAE: 5,229,173, R²: -1.5020) Exponential Smoothing MAPE : 18.89% (MAE: 4,363,871, R²: -0.9375) Prophet MAPE : 14.63% (MAE: 3,512,766, R²: -0.2545) Ensemble MAPE : 14.72% (MAE: 3,499,018, R²: -0.2187) 🔹 STATISTICAL TESTS -------------------------------------------------- Residuals Normality : Normal (Shapiro-Wilk p-value: 0.4935) Mean Absolute Deviation : 3,192,949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27,388,299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21.73 5229172.98 -1.50 17.42 Exponential Smoothing 18.89 4363871.12 -0.94 12.70 Prophet 14.63 3512765.84 -0.25 3.63 Ensemble 14.72 3499017.59 -0.22 5.23 🔍 KEY INSIGHTS: • Best performing method: ARIMA with 13.56% MAPE • Test period covered: 12 months • Training period: 84 months • Ensemble forecast over-predicts by 1,360,149 units on average</t>
  </si>
  <si>
    <t>🔹 OVERALL PERFORMANCE -------------------------------------------------- Best Method : Exponential Smoothing (MAPE: 8.37%) 🔹 BEST METHOD METRICS -------------------------------------------------- Mean Absolute Error : 2,268,422 (Exponential Smoothing performance) Root Mean Square Error : 2,892,300 (Exponential Smoothing performance) Mean Absolute Percentage Error: 8.37% (Exponential Smoothing performance) R-Squared : 0.3282 (Exponential Smoothing performance) Forecast Bias : 164,791 (Exponential Smoothing performance) Bias Percentage : 0.58% (Exponential Smoothing performance) 🔹 DATA COVERAGE -------------------------------------------------- Training Period : 2015-01 to 2020-12 (72 months) Test Period : 2021-01 to 2021-12 (12 months) 🔹 MODEL INSIGHTS -------------------------------------------------- Method Improvement : 6.94% MAPE reduction (Exponential Smoothing vs SARIMA) 🔹 METHOD PERFORMANCE -------------------------------------------------- ARIMA MAPE : 13.59% (MAE: 3,771,589, R²: -0.5494) SARIMA MAPE : 15.31% (MAE: 4,387,558, R²: -0.9168) Exponential Smoothing MAPE : 8.37% (MAE: 2,268,422, R²: 0.3282) Prophet MAPE : 10.91% (MAE: 3,238,709, R²: -0.0576) Ensemble MAPE : 10.76% (MAE: 3,182,443, R²: -0.0123) 🔹 STATISTICAL TESTS -------------------------------------------------- Residuals Normality : Normal (Shapiro-Wilk p-value: 0.2565) Mean Absolute Deviation : 2,090,974 (Residuals spread measure) 🔹 DIRECTIONAL ANALYSIS -------------------------------------------------- Directional Accuracy : 63.6%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26,030,708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15.31 4387557.89 -0.92 -15.32 Exponential Smoothing 8.37 2268422.13 0.33 0.58 Prophet 10.91 3238708.86 -0.06 -8.94 Ensemble 10.76 3182443.27 -0.01 -8.78 🔍 KEY INSIGHTS: • Best performing method: Exponential Smoothing with 8.37% MAPE • Test period covered: 12 months • Training period: 72 months • Ensemble forecast under-predicts by 2,504,565 units on average</t>
  </si>
  <si>
    <t>🔹 OVERALL PERFORMANCE -------------------------------------------------- Best Method : Exponential Smoothing (MAPE: 8.37%) 🔹 BEST METHOD METRICS -------------------------------------------------- Mean Absolute Error : 2,268,422 (Exponential Smoothing performance) Root Mean Square Error : 2,892,300 (Exponential Smoothing performance) Mean Absolute Percentage Error: 8.37% (Exponential Smoothing performance) R-Squared : 0.3282 (Exponential Smoothing performance) Forecast Bias : 164,791 (Exponential Smoothing performance) Bias Percentage : 0.58% (Exponential Smoothing performance) 🔹 DATA COVERAGE -------------------------------------------------- Training Period : 2015-01 to 2020-12 (72 months) Test Period : 2021-01 to 2021-12 (12 months) 🔹 MODEL INSIGHTS -------------------------------------------------- Method Improvement : 8.32% MAPE reduction (Exponential Smoothing vs SARIMA) 🔹 METHOD PERFORMANCE -------------------------------------------------- ARIMA MAPE : 13.59% (MAE: 3,771,589, R²: -0.5494) SARIMA MAPE : 16.69% (MAE: 4,774,054, R²: -1.2112) Exponential Smoothing MAPE : 8.37% (MAE: 2,268,422, R²: 0.3282) Prophet MAPE : 11.30% (MAE: 3,353,676, R²: -0.1425) Ensemble MAPE : 11.14% (MAE: 3,298,051, R²: -0.0907) 🔹 STATISTICAL TESTS -------------------------------------------------- Residuals Normality : Normal (Shapiro-Wilk p-value: 0.2223) Mean Absolute Deviation : 2,171,687 (Residuals spread measure) 🔹 DIRECTIONAL ANALYSIS -------------------------------------------------- Directional Accuracy : 63.6%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25,900,910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16.69 4774053.71 -1.21 -16.54 Exponential Smoothing 8.37 2268422.13 0.33 0.58 Prophet 11.30 3353676.37 -0.14 -9.40 Ensemble 11.14 3298050.53 -0.09 -9.23 🔍 KEY INSIGHTS: • Best performing method: Exponential Smoothing with 8.37% MAPE • Test period covered: 12 months • Training period: 72 months • Ensemble forecast under-predicts by 2,634,364 units on average</t>
  </si>
  <si>
    <t>Economic Activity</t>
  </si>
  <si>
    <t>🔹 OVERALL PERFORMANCE -------------------------------------------------- Best Method : Prophet (MAPE: 13.11%) 🔹 BEST METHOD METRICS -------------------------------------------------- Mean Absolute Error : 3,152,050 (Prophet performance) Root Mean Square Error : 4,040,570 (Prophet performance) Mean Absolute Percentage Error: 13.11% (Prophet performance) R-Squared : -0.0890 (Prophet performance) Forecast Bias : 501,014 (Prophet performance) Bias Percentage : 1.92% (Prophet performance) 🔹 DATA COVERAGE -------------------------------------------------- Training Period : 2015-01 to 2021-12 (84 months) Test Period : 2022-01 to 2022-12 (12 months) 🔹 MODEL INSIGHTS -------------------------------------------------- Method Improvement : 7.41% MAPE reduction (Prophet vs SARIMA) 🔹 METHOD PERFORMANCE -------------------------------------------------- ARIMA MAPE : 13.56% (MAE: 2,987,179, R²: -0.1813) SARIMA MAPE : 20.52% (MAE: 4,932,645, R²: -1.2653) Exponential Smoothing MAPE : 18.89% (MAE: 4,363,871, R²: -0.9375) Prophet MAPE : 13.11% (MAE: 3,152,050, R²: -0.0890) Ensemble MAPE : 13.39% (MAE: 3,184,738, R²: -0.0574) 🔹 STATISTICAL TESTS -------------------------------------------------- Residuals Normality : Normal (Shapiro-Wilk p-value: 0.4331) Mean Absolute Deviation : 2,943,833 (Residuals spread measure) 🔹 DIRECTIONAL ANALYSIS -------------------------------------------------- Directional Accuracy : 36.4%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27,001,428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20.52 4932644.66 -1.27 15.95 Exponential Smoothing 18.89 4363871.12 -0.94 12.70 Prophet 13.11 3152050.00 -0.09 1.92 Ensemble 13.39 3184737.61 -0.06 3.74 🔍 KEY INSIGHTS: • Best performing method: Prophet with 13.11% MAPE • Test period covered: 12 months • Training period: 84 months • Ensemble forecast over-predicts by 973,278 units on average</t>
  </si>
  <si>
    <t>🔹 OVERALL PERFORMANCE -------------------------------------------------- Best Method : SARIMA (MAPE: 8.11%) 🔹 BEST METHOD METRICS -------------------------------------------------- Mean Absolute Error : 1,772,286 (SARIMA performance) Root Mean Square Error : 2,318,897 (SARIMA performance) Mean Absolute Percentage Error: 8.11% (SARIMA performance) R-Squared : 0.5686 (SARIMA performance) Forecast Bias : 543,970 (SARIMA performance) Bias Percentage : 2.23%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17.13% MAPE reduction (SARIMA vs Exponential Smoothing) 🔹 METHOD PERFORMANCE -------------------------------------------------- ARIMA MAPE : 19.52% (MAE: 4,849,031, R²: -1.3093) SARIMA MAPE : 8.11% (MAE: 1,772,286, R²: 0.5686) Exponential Smoothing MAPE : 25.24% (MAE: 6,216,669, R²: -2.5822) Prophet MAPE : 19.11% (MAE: 4,681,522, R²: -0.9576) Ensemble MAPE : 18.09% (MAE: 4,470,220, R²: -0.7947) 🔹 STATISTICAL TESTS -------------------------------------------------- Residuals Normality : Non-normal (Shapiro-Wilk p-value: 0.0365) Mean Absolute Deviation : 1,999,510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20,547,092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8.11 1772285.95 0.57 2.23 Exponential Smoothing 25.24 6216669.06 -2.58 -24.51 Prophet 19.11 4681522.00 -0.96 -16.56 Ensemble 18.09 4470220.37 -0.79 -15.85 🔍 KEY INSIGHTS: • Best performing method: SARIMA with 8.11% MAPE • Test period covered: 12 months • Training period: 108 months • Ensemble forecast under-predicts by 3,871,512 units on average</t>
  </si>
  <si>
    <t>🔹 OVERALL PERFORMANCE -------------------------------------------------- Best Method : Exponential Smoothing (MAPE: 8.37%) 🔹 BEST METHOD METRICS -------------------------------------------------- Mean Absolute Error : 2,268,422 (Exponential Smoothing performance) Root Mean Square Error : 2,892,300 (Exponential Smoothing performance) Mean Absolute Percentage Error: 8.37% (Exponential Smoothing performance) R-Squared : 0.3282 (Exponential Smoothing performance) Forecast Bias : 164,791 (Exponential Smoothing performance) Bias Percentage : 0.58% (Exponential Smoothing performance) 🔹 DATA COVERAGE -------------------------------------------------- Training Period : 2015-01 to 2020-12 (72 months) Test Period : 2021-01 to 2021-12 (12 months) 🔹 MODEL INSIGHTS -------------------------------------------------- Method Improvement : 5.22% MAPE reduction (Exponential Smoothing vs ARIMA) 🔹 METHOD PERFORMANCE -------------------------------------------------- ARIMA MAPE : 13.59% (MAE: 3,771,589, R²: -0.5494) SARIMA MAPE : 11.77% (MAE: 3,418,586, R²: -0.2999) Exponential Smoothing MAPE : 8.37% (MAE: 2,268,422, R²: 0.3282) Prophet MAPE : 9.90% (MAE: 2,894,991, R²: 0.1954) Ensemble MAPE : 9.91% (MAE: 2,876,107, R²: 0.2256) 🔹 STATISTICAL TESTS -------------------------------------------------- Residuals Normality : Normal (Shapiro-Wilk p-value: 0.1522) Mean Absolute Deviation : 2,129,166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26,870,128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11.77 3418585.96 -0.30 -7.22 Exponential Smoothing 8.37 2268422.13 0.33 0.58 Prophet 9.90 2894990.63 0.20 -6.00 Ensemble 9.91 2876107.27 0.23 -5.84 🔍 KEY INSIGHTS: • Best performing method: Exponential Smoothing with 8.37% MAPE • Test period covered: 12 months • Training period: 72 months • Ensemble forecast under-predicts by 1,665,145 units on average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</si>
  <si>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6.93% MAPE reduction (ARIMA vs SARIMA) 🔹 METHOD PERFORMANCE -------------------------------------------------- ARIMA MAPE : 13.56% (MAE: 2,987,179, R²: -0.1813) SARIMA MAPE : 20.49% (MAE: 4,920,366, R²: -1.1579) Exponential Smoothing MAPE : 18.89% (MAE: 4,363,871, R²: -0.9375) Prophet MAPE : 13.83% (MAE: 3,333,931, R²: -0.1684) Ensemble MAPE : 14.09% (MAE: 3,372,698, R²: -0.1574) 🔹 STATISTICAL TESTS -------------------------------------------------- Residuals Normality : Normal (Shapiro-Wilk p-value: 0.4811) Mean Absolute Deviation : 3,164,760 (Residuals spread measure) 🔹 DIRECTIONAL ANALYSIS -------------------------------------------------- Directional Accuracy : 36.4%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26,963,077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20.49 4920366.21 -1.16 12.70 Exponential Smoothing 18.89 4363871.12 -0.94 12.70 Prophet 13.83 3333930.81 -0.17 2.01 Ensemble 14.09 3372698.44 -0.16 3.59 🔍 KEY INSIGHTS: • Best performing method: ARIMA with 13.56% MAPE • Test period covered: 12 months • Training period: 84 months • Ensemble forecast over-predicts by 934,927 units on average</t>
  </si>
  <si>
    <t>🔹 OVERALL PERFORMANCE -------------------------------------------------- Best Method : SARIMA (MAPE: 9.96%) 🔹 BEST METHOD METRICS -------------------------------------------------- Mean Absolute Error : 2,429,426 (SARIMA performance) Root Mean Square Error : 2,761,910 (SARIMA performance) Mean Absolute Percentage Error: 9.96% (SARIMA performance) R-Squared : 0.3881 (SARIMA performance) Forecast Bias : -1,167,636 (SARIMA performance) Bias Percentage : -4.78%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15.28% MAPE reduction (SARIMA vs Exponential Smoothing) 🔹 METHOD PERFORMANCE -------------------------------------------------- ARIMA MAPE : 19.52% (MAE: 4,849,031, R²: -1.3093) SARIMA MAPE : 9.96% (MAE: 2,429,426, R²: 0.3881) Exponential Smoothing MAPE : 25.24% (MAE: 6,216,669, R²: -2.5822) Prophet MAPE : 21.13% (MAE: 5,166,962, R²: -1.3759) Ensemble MAPE : 20.15% (MAE: 4,966,484, R²: -1.1962) 🔹 STATISTICAL TESTS -------------------------------------------------- Residuals Normality : Non-normal (Shapiro-Wilk p-value: 0.0332) Mean Absolute Deviation : 2,118,610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20,045,873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9.96 2429425.57 0.39 -4.78 Exponential Smoothing 25.24 6216669.06 -2.58 -24.51 Prophet 21.13 5166961.80 -1.38 -18.53 Ensemble 20.15 4966484.40 -1.20 -17.91 🔍 KEY INSIGHTS: • Best performing method: SARIMA with 9.96% MAPE • Test period covered: 12 months • Training period: 108 months • Ensemble forecast under-predicts by 4,372,730 units on average</t>
  </si>
  <si>
    <t>🔹 OVERALL PERFORMANCE -------------------------------------------------- Best Method : SARIMA (MAPE: 8.06%) 🔹 BEST METHOD METRICS -------------------------------------------------- Mean Absolute Error : 1,781,546 (SARIMA performance) Root Mean Square Error : 2,253,823 (SARIMA performance) Mean Absolute Percentage Error: 8.06% (SARIMA performance) R-Squared : 0.5925 (SARIMA performance) Forecast Bias : 377,288 (SARIMA performance) Bias Percentage : 1.55%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17.18% MAPE reduction (SARIMA vs Exponential Smoothing) 🔹 METHOD PERFORMANCE -------------------------------------------------- ARIMA MAPE : 19.52% (MAE: 4,849,031, R²: -1.3093) SARIMA MAPE : 8.06% (MAE: 1,781,546, R²: 0.5925) Exponential Smoothing MAPE : 25.24% (MAE: 6,216,669, R²: -2.5822) Prophet MAPE : 21.29% (MAE: 5,204,408, R²: -1.4095) Ensemble MAPE : 19.91% (MAE: 4,905,417, R²: -1.1457) 🔹 STATISTICAL TESTS -------------------------------------------------- Residuals Normality : Non-normal (Shapiro-Wilk p-value: 0.0352) Mean Absolute Deviation : 2,095,140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20,104,564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8.06 1781545.91 0.59 1.55 Exponential Smoothing 25.24 6216669.06 -2.58 -24.51 Prophet 21.29 5204408.44 -1.41 -18.72 Ensemble 19.91 4905417.36 -1.15 -17.67 🔍 KEY INSIGHTS: • Best performing method: SARIMA with 8.06% MAPE • Test period covered: 12 months • Training period: 108 months • Ensemble forecast under-predicts by 4,314,039 units on average</t>
  </si>
  <si>
    <t>https://app.powerbi.com/groups/7e373771-c704-4855-bb94-026ffb6be497/synapsenotebooks/752eb748-159b-45ee-9b36-9cb33ce0614e?experience=power-bi</t>
  </si>
  <si>
    <t>Notebook: Quantity Prediction from Future - 7/14/2025 - #3 Feature Engineering - Chika</t>
  </si>
  <si>
    <t>Added "extra_tree"</t>
  </si>
  <si>
    <t>🔹 OVERALL PERFORMANCE -------------------------------------------------- Best Method : Ensemble (MAPE: 11.61%) 🔹 BEST METHOD METRICS -------------------------------------------------- Mean Absolute Error : 2,153,602 (Ensemble performance) Root Mean Square Error : 2,899,555 (Ensemble performance) Mean Absolute Percentage Error: 11.61% (Ensemble performance) R-Squared : 0.3760 (Ensemble performance) Forecast Bias : 1,189,942 (Ensemble performance) Bias Percentage : 5.36% (Ensemble performance) 🔹 DATA COVERAGE -------------------------------------------------- Training Period : 2015-01 to 2022-12 (96 months) Test Period : 2023-01 to 2023-12 (12 months) 🔹 MODEL INSIGHTS -------------------------------------------------- Method Improvement : 10.49% MAPE reduction (Ensemble vs SARIMA) 🔹 METHOD PERFORMANCE -------------------------------------------------- ARIMA MAPE : 18.33% (MAE: 3,221,752, R²: -0.5042) SARIMA MAPE : 22.10% (MAE: 4,943,960, R²: -1.7439) Exponential Smoothing MAPE : 11.97% (MAE: 2,317,423, R²: 0.4031) Prophet MAPE : 12.69% (MAE: 2,388,803, R²: 0.2786) ExtraTrees MAPE : 18.33% (MAE: 3,221,752, R²: -0.5042) Ensemble MAPE : 11.61% (MAE: 2,153,602, R²: 0.3760) 🔹 STATISTICAL TESTS -------------------------------------------------- Residuals Normality : Normal (Shapiro-Wilk p-value: 0.4776) Mean Absolute Deviation : 2,109,472 (Residuals spread measure) 🔹 DIRECTIONAL ANALYSIS -------------------------------------------------- Directional Accuracy : 36.4%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23,385,925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22.10 4943959.54 -1.74 -20.78 Exponential Smoothing 11.97 2317422.63 0.40 10.44 Prophet 12.69 2388803.07 0.28 6.19 ExtraTrees 18.33 3221752.09 -0.50 11.56 Ensemble 11.61 2153602.11 0.38 5.36 🔍 KEY INSIGHTS: • Best performing method: Ensemble with 11.61% MAPE • Test period covered: 12 months • Training period: 96 months • Ensemble forecast over-predicts by 1,189,942 units on average</t>
  </si>
  <si>
    <t>🔹 OVERALL PERFORMANCE -------------------------------------------------- Best Method : SARIMA (MAPE: 8.06%) 🔹 BEST METHOD METRICS -------------------------------------------------- Mean Absolute Error : 1,781,546 (SARIMA performance) Root Mean Square Error : 2,253,823 (SARIMA performance) Mean Absolute Percentage Error: 8.06% (SARIMA performance) R-Squared : 0.5925 (SARIMA performance) Forecast Bias : 377,288 (SARIMA performance) Bias Percentage : 1.55%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17.18% MAPE reduction (SARIMA vs Exponential Smoothing) 🔹 METHOD PERFORMANCE -------------------------------------------------- ARIMA MAPE : 19.52% (MAE: 4,849,031, R²: -1.3093) SARIMA MAPE : 8.06% (MAE: 1,781,546, R²: 0.5925) Exponential Smoothing MAPE : 25.24% (MAE: 6,216,669, R²: -2.5822) Prophet MAPE : 21.29% (MAE: 5,204,408, R²: -1.4095) ExtraTrees MAPE : 19.52% (MAE: 4,849,031, R²: -1.3093) Ensemble MAPE : 19.60% (MAE: 4,858,339, R²: -1.1158) 🔹 STATISTICAL TESTS -------------------------------------------------- Residuals Normality : Non-normal (Shapiro-Wilk p-value: 0.0443) Mean Absolute Deviation : 2,082,397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20,120,842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8.06 1781545.91 0.59 1.55 Exponential Smoothing 25.24 6216669.06 -2.58 -24.51 Prophet 21.29 5204408.44 -1.41 -18.72 ExtraTrees 19.52 4849030.85 -1.31 -16.41 Ensemble 19.60 4858339.50 -1.12 -17.60 🔍 KEY INSIGHTS: • Best performing method: SARIMA with 8.06% MAPE • Test period covered: 12 months • Training period: 108 months • Ensemble forecast under-predicts by 4,297,762 units on average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</si>
  <si>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7.62% MAPE reduction (ARIMA vs SARIMA) 🔹 METHOD PERFORMANCE -------------------------------------------------- ARIMA MAPE : 13.56% (MAE: 2,987,179, R²: -0.1813) SARIMA MAPE : 21.18% (MAE: 5,097,922, R²: -1.4142) Exponential Smoothing MAPE : 18.89% (MAE: 4,363,871, R²: -0.9375) Prophet MAPE : 13.59% (MAE: 3,269,112, R²: -0.1462) ExtraTrees MAPE : 13.56% (MAE: 2,987,179, R²: -0.1813) Ensemble MAPE : 13.72% (MAE: 3,252,073, R²: -0.0905) 🔹 STATISTICAL TESTS -------------------------------------------------- Residuals Normality : Normal (Shapiro-Wilk p-value: 0.3468) Mean Absolute Deviation : 2,960,784 (Residuals spread measure) 🔹 DIRECTIONAL ANALYSIS -------------------------------------------------- Directional Accuracy : 36.4%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27,068,634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21.18 5097921.71 -1.41 16.97 Exponential Smoothing 18.89 4363871.12 -0.94 12.70 Prophet 13.59 3269112.11 -0.15 2.07 ExtraTrees 13.56 2987179.22 -0.18 5.18 Ensemble 13.72 3252072.72 -0.09 4.00 🔍 KEY INSIGHTS: • Best performing method: ARIMA with 13.56% MAPE • Test period covered: 12 months • Training period: 84 months • Ensemble forecast over-predicts by 1,040,483 units on average</t>
  </si>
  <si>
    <t>🔹 OVERALL PERFORMANCE -------------------------------------------------- Best Method : Exponential Smoothing (MAPE: 8.37%) 🔹 BEST METHOD METRICS -------------------------------------------------- Mean Absolute Error : 2,268,422 (Exponential Smoothing performance) Root Mean Square Error : 2,892,300 (Exponential Smoothing performance) Mean Absolute Percentage Error: 8.37% (Exponential Smoothing performance) R-Squared : 0.3282 (Exponential Smoothing performance) Forecast Bias : 164,791 (Exponential Smoothing performance) Bias Percentage : 0.58% (Exponential Smoothing performance) 🔹 DATA COVERAGE -------------------------------------------------- Training Period : 2015-01 to 2020-12 (72 months) Test Period : 2021-01 to 2021-12 (12 months) 🔹 MODEL INSIGHTS -------------------------------------------------- Method Improvement : 9.43% MAPE reduction (Exponential Smoothing vs SARIMA) 🔹 METHOD PERFORMANCE -------------------------------------------------- ARIMA MAPE : 13.59% (MAE: 3,771,589, R²: -0.5494) SARIMA MAPE : 17.79% (MAE: 5,101,820, R²: -1.5225) Exponential Smoothing MAPE : 8.37% (MAE: 2,268,422, R²: 0.3282) Prophet MAPE : 10.32% (MAE: 3,038,871, R²: 0.0993) ExtraTrees MAPE : 13.59% (MAE: 3,771,589, R²: -0.5494) Ensemble MAPE : 10.48% (MAE: 3,069,590, R²: 0.0956) 🔹 STATISTICAL TESTS -------------------------------------------------- Residuals Normality : Normal (Shapiro-Wilk p-value: 0.2055) Mean Absolute Deviation : 2,095,199 (Residuals spread measure) 🔹 DIRECTIONAL ANALYSIS -------------------------------------------------- Directional Accuracy : 63.6%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26,324,395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17.79 5101820.38 -1.52 -17.88 Exponential Smoothing 8.37 2268422.13 0.33 0.58 Prophet 10.32 3038871.00 0.10 -7.35 ExtraTrees 13.59 3771589.27 -0.55 -8.99 Ensemble 10.48 3069590.37 0.10 -7.75 🔍 KEY INSIGHTS: • Best performing method: Exponential Smoothing with 8.37% MAPE • Test period covered: 12 months • Training period: 72 months • Ensemble forecast under-predicts by 2,210,879 units on average</t>
  </si>
  <si>
    <t>Different Test Period Test (Year) + automatic training period (different time length)</t>
  </si>
  <si>
    <t>Different Test Period Test (Year) + Fixed training period (same time length as 2023 (96 months))</t>
  </si>
  <si>
    <t>🔹 OVERALL PERFORMANCE -------------------------------------------------- Best Method : Exponential Smoothing (MAPE: 8.81%) 🔹 BEST METHOD METRICS -------------------------------------------------- Mean Absolute Error : 2,010,660 (Exponential Smoothing performance) Root Mean Square Error : 2,617,345 (Exponential Smoothing performance) Mean Absolute Percentage Error: 8.81% (Exponential Smoothing performance) R-Squared : 0.4504 (Exponential Smoothing performance) Forecast Bias : 94,803 (Exponential Smoothing performance) Bias Percentage : 0.39% (Exponential Smoothing performance) 🔹 DATA COVERAGE -------------------------------------------------- Training Period : 2015-01 to 2022-12 (96 months) Test Period : 2024-01 to 2024-12 (12 months) 🔹 MODEL INSIGHTS -------------------------------------------------- Method Improvement : 18.57% MAPE reduction (Exponential Smoothing vs SARIMA) 🔹 METHOD PERFORMANCE -------------------------------------------------- ARIMA MAPE : 12.53% (MAE: 2,607,669, R²: -0.0265) SARIMA MAPE : 27.38% (MAE: 6,834,658, R²: -4.6985) Exponential Smoothing MAPE : 8.81% (MAE: 2,010,660, R²: 0.4504) Prophet MAPE : 10.35% (MAE: 2,416,645, R²: 0.4332) Ensemble MAPE : 10.85% (MAE: 2,575,458, R²: 0.3915) 🔹 STATISTICAL TESTS -------------------------------------------------- Residuals Normality : Normal (Shapiro-Wilk p-value: 0.0511) Mean Absolute Deviation : 2,109,321 (Residuals spread measure) 🔹 DIRECTIONAL ANALYSIS -------------------------------------------------- Directional Accuracy : 81.8% (Correct direction prediction rate) 🔹 FORECAST CHARACTERISTICS -------------------------------------------------- Training Data Mean : 26,292,935 (Average monthly quantity in training) Test Data Mean : 24,418,603 (Average monthly quantity in test period) Ensemble Forecast Mean : 23,307,835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12.53 2607668.72 -0.03 1.41 SARIMA 27.38 6834657.52 -4.70 -27.99 Exponential Smoothing 8.81 2010660.33 0.45 0.39 Prophet 10.35 2416644.84 0.43 -3.48 Ensemble 10.85 2575458.35 0.39 -4.55 🔍 KEY INSIGHTS: • Best performing method: Exponential Smoothing with 8.81% MAPE • Test period covered: 12 months • Training period: 96 months • Ensemble forecast under-predicts by 1,110,768 units on average</t>
  </si>
  <si>
    <t>🔹 OVERALL PERFORMANCE -------------------------------------------------- Best Method : Exponential Smoothing (MAPE: 8.81%) 🔹 BEST METHOD METRICS -------------------------------------------------- Mean Absolute Error : 2,010,660 (Exponential Smoothing performance) Root Mean Square Error : 2,617,345 (Exponential Smoothing performance) Mean Absolute Percentage Error: 8.81% (Exponential Smoothing performance) R-Squared : 0.4504 (Exponential Smoothing performance) Forecast Bias : 94,803 (Exponential Smoothing performance) Bias Percentage : 0.39% (Exponential Smoothing performance) 🔹 DATA COVERAGE -------------------------------------------------- Training Period : 2015-01 to 2022-12 (96 months) Test Period : 2024-01 to 2024-12 (12 months) 🔹 MODEL INSIGHTS -------------------------------------------------- Method Improvement : 21.33% MAPE reduction (Exponential Smoothing vs SARIMA) 🔹 METHOD PERFORMANCE -------------------------------------------------- ARIMA MAPE : 12.53% (MAE: 2,607,669, R²: -0.0265) SARIMA MAPE : 30.13% (MAE: 7,487,495, R²: -5.7924) Exponential Smoothing MAPE : 8.81% (MAE: 2,010,660, R²: 0.4504) Prophet MAPE : 10.49% (MAE: 2,465,234, R²: 0.4161) Ensemble MAPE : 11.04% (MAE: 2,639,669, R²: 0.3646) 🔹 STATISTICAL TESTS -------------------------------------------------- Residuals Normality : Normal (Shapiro-Wilk p-value: 0.0533) Mean Absolute Deviation : 2,118,664 (Residuals spread measure) 🔹 DIRECTIONAL ANALYSIS -------------------------------------------------- Directional Accuracy : 81.8% (Correct direction prediction rate) 🔹 FORECAST CHARACTERISTICS -------------------------------------------------- Training Data Mean : 26,292,935 (Average monthly quantity in training) Test Data Mean : 24,418,603 (Average monthly quantity in test period) Ensemble Forecast Mean : 23,193,640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12.53 2607668.72 -0.03 1.41 SARIMA 30.13 7487494.63 -5.79 -30.66 Exponential Smoothing 8.81 2010660.33 0.45 0.39 Prophet 10.49 2465234.13 0.42 -3.84 Ensemble 11.04 2639669.45 0.36 -5.02 🔍 KEY INSIGHTS: • Best performing method: Exponential Smoothing with 8.81% MAPE • Test period covered: 12 months • Training period: 96 months • Ensemble forecast under-predicts by 1,224,963 units on average</t>
  </si>
  <si>
    <t>🔹 OVERALL PERFORMANCE -------------------------------------------------- Best Method : Exponential Smoothing (MAPE: 8.81%) 🔹 BEST METHOD METRICS -------------------------------------------------- Mean Absolute Error : 2,010,660 (Exponential Smoothing performance) Root Mean Square Error : 2,617,345 (Exponential Smoothing performance) Mean Absolute Percentage Error: 8.81% (Exponential Smoothing performance) R-Squared : 0.4504 (Exponential Smoothing performance) Forecast Bias : 94,803 (Exponential Smoothing performance) Bias Percentage : 0.39% (Exponential Smoothing performance) 🔹 DATA COVERAGE -------------------------------------------------- Training Period : 2015-01 to 2022-12 (96 months) Test Period : 2024-01 to 2024-12 (12 months) 🔹 MODEL INSIGHTS -------------------------------------------------- Method Improvement : 17.22% MAPE reduction (Exponential Smoothing vs SARIMA) 🔹 METHOD PERFORMANCE -------------------------------------------------- ARIMA MAPE : 12.53% (MAE: 2,607,669, R²: -0.0265) SARIMA MAPE : 26.03% (MAE: 6,478,452, R²: -4.6184) Exponential Smoothing MAPE : 8.81% (MAE: 2,010,660, R²: 0.4504) Prophet MAPE : 10.67% (MAE: 2,523,072, R²: 0.4008) Ensemble MAPE : 11.05% (MAE: 2,644,969, R²: 0.3671) 🔹 STATISTICAL TESTS -------------------------------------------------- Residuals Normality : Non-normal (Shapiro-Wilk p-value: 0.0479) Mean Absolute Deviation : 2,092,230 (Residuals spread measure) 🔹 DIRECTIONAL ANALYSIS -------------------------------------------------- Directional Accuracy : 81.8% (Correct direction prediction rate) 🔹 FORECAST CHARACTERISTICS -------------------------------------------------- Training Data Mean : 26,292,935 (Average monthly quantity in training) Test Data Mean : 24,418,603 (Average monthly quantity in test period) Ensemble Forecast Mean : 23,144,198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12.53 2607668.72 -0.03 1.41 SARIMA 26.03 6478452.46 -4.62 -25.83 Exponential Smoothing 8.81 2010660.33 0.45 0.39 Prophet 10.67 2523071.51 0.40 -4.47 Ensemble 11.05 2644968.78 0.37 -5.22 🔍 KEY INSIGHTS: • Best performing method: Exponential Smoothing with 8.81% MAPE • Test period covered: 12 months • Training period: 96 months • Ensemble forecast under-predicts by 1,274,406 units on average</t>
  </si>
  <si>
    <t>🔹 OVERALL PERFORMANCE -------------------------------------------------- Best Method : Exponential Smoothing (MAPE: 8.81%) 🔹 BEST METHOD METRICS -------------------------------------------------- Mean Absolute Error : 2,010,660 (Exponential Smoothing performance) Root Mean Square Error : 2,617,345 (Exponential Smoothing performance) Mean Absolute Percentage Error: 8.81% (Exponential Smoothing performance) R-Squared : 0.4504 (Exponential Smoothing performance) Forecast Bias : 94,803 (Exponential Smoothing performance) Bias Percentage : 0.39% (Exponential Smoothing performance) 🔹 DATA COVERAGE -------------------------------------------------- Training Period : 2015-01 to 2022-12 (96 months) Test Period : 2024-01 to 2024-12 (12 months) 🔹 MODEL INSIGHTS -------------------------------------------------- Method Improvement : 28.67% MAPE reduction (Exponential Smoothing vs SARIMA) 🔹 METHOD PERFORMANCE -------------------------------------------------- ARIMA MAPE : 12.53% (MAE: 2,607,669, R²: -0.0265) SARIMA MAPE : 37.48% (MAE: 9,225,875, R²: -8.8123) Exponential Smoothing MAPE : 8.81% (MAE: 2,010,660, R²: 0.4504) Prophet MAPE : 10.35% (MAE: 2,418,901, R²: 0.4326) Ensemble MAPE : 11.11% (MAE: 2,663,239, R²: 0.3524) 🔹 STATISTICAL TESTS -------------------------------------------------- Residuals Normality : Normal (Shapiro-Wilk p-value: 0.0623) Mean Absolute Deviation : 2,137,565 (Residuals spread measure) 🔹 DIRECTIONAL ANALYSIS -------------------------------------------------- Directional Accuracy : 81.8% (Correct direction prediction rate) 🔹 FORECAST CHARACTERISTICS -------------------------------------------------- Training Data Mean : 26,292,935 (Average monthly quantity in training) Test Data Mean : 24,418,603 (Average monthly quantity in test period) Ensemble Forecast Mean : 23,149,288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12.53 2607668.72 -0.03 1.41 SARIMA 37.48 9225874.88 -8.81 -37.78 Exponential Smoothing 8.81 2010660.33 0.45 0.39 Prophet 10.35 2418901.11 0.43 -3.50 Ensemble 11.11 2663239.02 0.35 -5.20 🔍 KEY INSIGHTS: • Best performing method: Exponential Smoothing with 8.81% MAPE • Test period covered: 12 months • Training period: 96 months • Ensemble forecast under-predicts by 1,269,315 units on average</t>
  </si>
  <si>
    <t>https://app.powerbi.com/groups/7e373771-c704-4855-bb94-026ffb6be497/synapsenotebooks/7d938afb-b610-40f6-acdb-feca079c09f8?experience=power-bi</t>
  </si>
  <si>
    <t>Chris_Webb_Quantity_Prediction_with_ExtraTrees_7-18-25</t>
  </si>
  <si>
    <t>My Notebook (Title: Quantity_Prediction_with_ExtraTrees_7-18-25 - #5 Feature Engineering - Chika)</t>
  </si>
  <si>
    <t>https://app.powerbi.com/groups/7e373771-c704-4855-bb94-026ffb6be497/synapsenotebooks/f2399c63-eafb-4218-87ea-cd26a318cadc?experience=power-bi</t>
  </si>
  <si>
    <t>Orders by Created Date Past 10 Years.csv</t>
  </si>
  <si>
    <t>CPI_Monthly_2020Base_Germany.csv</t>
  </si>
  <si>
    <t>Germany Economic data/hicp_data.csv</t>
  </si>
  <si>
    <t>new_manufacturing_orders_v2.csv</t>
  </si>
  <si>
    <t>Crude Oil.csv</t>
  </si>
  <si>
    <t>Global Supply Chain Pressure Index (GSCPI) - updated.csv</t>
  </si>
  <si>
    <t>All 7 data added</t>
  </si>
  <si>
    <t>🔹 OVERALL PERFORMANCE -------------------------------------------------- Best Method : Extra Trees (MAPE: 14.27%) 🔹 BEST METHOD METRICS -------------------------------------------------- Mean Absolute Error : 3,668,719 (Extra Trees performance) Root Mean Square Error : 4,147,817 (Extra Trees performance) Mean Absolute Percentage Error: 14.27% (Extra Trees performance) R-Squared : -0.3802 (Extra Trees performance) Forecast Bias : -3,006,619 (Extra Trees performance) Bias Percentage : -12.31% (Extra Trees performance) 🔹 DATA COVERAGE -------------------------------------------------- Training Period : 2015-01 to 2023-12 (108 months) Test Period : 2024-01 to 2024-12 (12 months) 🔹 MODEL INSIGHTS -------------------------------------------------- Method Improvement : 17.41% MAPE reduction (Extra Trees vs SARIMA) 🔹 METHOD PERFORMANCE -------------------------------------------------- ARIMA MAPE : 19.52% (MAE: 4,849,031, R²: -1.3093) SARIMA MAPE : 31.68% (MAE: 7,665,001, R²: -5.1363) Exponential Smoothing MAPE : 25.24% (MAE: 6,216,669, R²: -2.5822) Prophet MAPE : 21.30% (MAE: 5,195,917, R²: -1.4073) Extra Trees MAPE : 14.27% (MAE: 3,668,719, R²: -0.3802) Ensemble MAPE : 15.55% (MAE: 3,961,687, R²: -0.5590) 🔹 STATISTICAL TESTS -------------------------------------------------- Residuals Normality : Normal (Shapiro-Wilk p-value: 0.2419) Mean Absolute Deviation : 2,063,283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20,953,150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31.68 7665000.66 -5.14 -31.32 Exponential Smoothing 25.24 6216669.06 -2.58 -24.51 Prophet 21.30 5195917.13 -1.41 -18.69 Extra Trees 14.27 3668719.09 -0.38 -12.31 Ensemble 15.55 3961686.54 -0.56 -14.19 🔍 KEY INSIGHTS: • Best performing method: Extra Trees with 14.27% MAPE • Test period covered: 12 months • Training period: 108 months • Ensemble forecast under-predicts by 3,465,453 units on average</t>
  </si>
  <si>
    <t>2024 Test Period</t>
  </si>
  <si>
    <t>2023 Test Period</t>
  </si>
  <si>
    <t>🔹 OVERALL PERFORMANCE -------------------------------------------------- Best Method : Prophet (MAPE: 11.18%) 🔹 BEST METHOD METRICS -------------------------------------------------- Mean Absolute Error : 2,141,896 (Prophet performance) Root Mean Square Error : 2,852,780 (Prophet performance) Mean Absolute Percentage Error: 11.18% (Prophet performance) R-Squared : 0.3960 (Prophet performance) Forecast Bias : 579,663 (Prophet performance) Bias Percentage : 2.61% (Prophet performance) 🔹 DATA COVERAGE -------------------------------------------------- Training Period : 2015-01 to 2022-12 (96 months) Test Period : 2023-01 to 2023-12 (12 months) 🔹 MODEL INSIGHTS -------------------------------------------------- Method Improvement : 28.53% MAPE reduction (Prophet vs SARIMA) 🔹 METHOD PERFORMANCE -------------------------------------------------- ARIMA MAPE : 18.33% (MAE: 3,221,752, R²: -0.5042) SARIMA MAPE : 39.71% (MAE: 8,533,327, R²: -6.7463) Exponential Smoothing MAPE : 11.97% (MAE: 2,317,423, R²: 0.4031) Prophet MAPE : 11.18% (MAE: 2,141,896, R²: 0.3960) Extra Trees MAPE : 17.10% (MAE: 3,253,860, R²: -0.1247) Ensemble MAPE : 14.23% (MAE: 2,669,585, R²: 0.1855) 🔹 STATISTICAL TESTS -------------------------------------------------- Residuals Normality : Normal (Shapiro-Wilk p-value: 0.6177) Mean Absolute Deviation : 1,932,072 (Residuals spread measure) 🔹 DIRECTIONAL ANALYSIS -------------------------------------------------- Directional Accuracy : 54.5%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24,533,412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39.71 8533326.67 -6.75 -33.14 Exponential Smoothing 11.97 2317422.63 0.40 10.44 Prophet 11.18 2141895.80 0.40 2.61 Extra Trees 17.10 3253860.30 -0.12 14.02 Ensemble 14.23 2669584.53 0.19 10.53 🔍 KEY INSIGHTS: • Best performing method: Prophet with 11.18% MAPE • Test period covered: 12 months • Training period: 96 months • Ensemble forecast over-predicts by 2,337,428 units on average</t>
  </si>
  <si>
    <t>USD to EUR historical exchange rates.csv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</si>
  <si>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7.08% MAPE reduction (Exponential Smoothing vs SARIMA) 🔹 METHOD PERFORMANCE -------------------------------------------------- ARIMA MAPE : 18.33% (MAE: 3,221,752, R²: -0.5042) SARIMA MAPE : 19.04% (MAE: 4,289,702, R²: -1.1164) Exponential Smoothing MAPE : 11.97% (MAE: 2,317,423, R²: 0.4031) Prophet MAPE : 12.69% (MAE: 2,389,494, R²: 0.2786) Extra Trees MAPE : 15.26% (MAE: 2,873,705, R²: 0.0786) Ensemble MAPE : 13.96% (MAE: 2,604,122, R²: 0.2010) 🔹 STATISTICAL TESTS -------------------------------------------------- Residuals Normality : Normal (Shapiro-Wilk p-value: 0.6873) Mean Absolute Deviation : 1,998,972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24,421,242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19.04 4289702.26 -1.12 -17.83 Exponential Smoothing 11.97 2317422.63 0.40 10.44 Prophet 12.69 2389494.26 0.28 6.16 Extra Trees 15.26 2873704.70 0.08 11.59 Ensemble 13.96 2604122.37 0.20 10.03 🔍 KEY INSIGHTS: • Best performing method: Exponential Smoothing with 11.97% MAPE • Test period covered: 12 months • Training period: 96 months • Ensemble forecast over-predicts by 2,225,259 units on average</t>
  </si>
  <si>
    <t>🔹 OVERALL PERFORMANCE -------------------------------------------------- Best Method : SARIMA (MAPE: 7.92%) 🔹 BEST METHOD METRICS -------------------------------------------------- Mean Absolute Error : 1,764,169 (SARIMA performance) Root Mean Square Error : 2,126,342 (SARIMA performance) Mean Absolute Percentage Error: 7.92% (SARIMA performance) R-Squared : 0.6373 (SARIMA performance) Forecast Bias : 322,885 (SARIMA performance) Bias Percentage : 1.32%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17.32% MAPE reduction (SARIMA vs Exponential Smoothing) 🔹 METHOD PERFORMANCE -------------------------------------------------- ARIMA MAPE : 19.52% (MAE: 4,849,031, R²: -1.3093) SARIMA MAPE : 7.92% (MAE: 1,764,169, R²: 0.6373) Exponential Smoothing MAPE : 25.24% (MAE: 6,216,669, R²: -2.5822) Prophet MAPE : 17.59% (MAE: 4,361,848, R²: -0.7115) Extra Trees MAPE : 14.25% (MAE: 3,676,066, R²: -0.3510) Ensemble MAPE : 14.55% (MAE: 3,739,157, R²: -0.3754) 🔹 STATISTICAL TESTS -------------------------------------------------- Residuals Normality : Normal (Shapiro-Wilk p-value: 0.0718) Mean Absolute Deviation : 2,090,311 (Residuals spread measure) 🔹 DIRECTIONAL ANALYSIS -------------------------------------------------- Directional Accuracy : 54.5%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21,226,457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7.92 1764169.34 0.64 1.32 Exponential Smoothing 25.24 6216669.06 -2.58 -24.51 Prophet 17.59 4361848.08 -0.71 -15.61 Extra Trees 14.25 3676066.22 -0.35 -12.47 Ensemble 14.55 3739156.63 -0.38 -13.07 🔍 KEY INSIGHTS: • Best performing method: SARIMA with 7.92% MAPE • Test period covered: 12 months • Training period: 108 months • Ensemble forecast under-predicts by 3,192,147 units on average</t>
  </si>
  <si>
    <t>🔹 OVERALL PERFORMANCE -------------------------------------------------- Best Method : Extra Trees (MAPE: 14.77%) 🔹 BEST METHOD METRICS -------------------------------------------------- Mean Absolute Error : 3,788,586 (Extra Trees performance) Root Mean Square Error : 4,211,300 (Extra Trees performance) Mean Absolute Percentage Error: 14.77% (Extra Trees performance) R-Squared : -0.4227 (Extra Trees performance) Forecast Bias : -3,114,743 (Extra Trees performance) Bias Percentage : -12.76% (Extra Trees performance) 🔹 DATA COVERAGE -------------------------------------------------- Training Period : 2015-01 to 2023-12 (108 months) Test Period : 2024-01 to 2024-12 (12 months) 🔹 MODEL INSIGHTS -------------------------------------------------- Method Improvement : 10.47% MAPE reduction (Extra Trees vs Exponential Smoothing) 🔹 METHOD PERFORMANCE -------------------------------------------------- ARIMA MAPE : 19.52% (MAE: 4,849,031, R²: -1.3093) SARIMA MAPE : 16.96% (MAE: 4,143,387, R²: -0.6217) Exponential Smoothing MAPE : 25.24% (MAE: 6,216,669, R²: -2.5822) Prophet MAPE : 21.87% (MAE: 5,313,776, R²: -1.5290) Extra Trees MAPE : 14.77% (MAE: 3,788,586, R²: -0.4227) Ensemble MAPE : 15.36% (MAE: 3,943,163, R²: -0.5475) 🔹 STATISTICAL TESTS -------------------------------------------------- Residuals Normality : Normal (Shapiro-Wilk p-value: 0.0872) Mean Absolute Deviation : 2,152,896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20,972,057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16.96 4143386.80 -0.62 -14.96 Exponential Smoothing 25.24 6216669.06 -2.58 -24.51 Prophet 21.87 5313776.32 -1.53 -18.82 Extra Trees 14.77 3788586.39 -0.42 -12.76 Ensemble 15.36 3943162.69 -0.55 -14.11 🔍 KEY INSIGHTS: • Best performing method: Extra Trees with 14.77% MAPE • Test period covered: 12 months • Training period: 108 months • Ensemble forecast under-predicts by 3,446,546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</si>
  <si>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23.23% MAPE reduction (Exponential Smoothing vs SARIMA) 🔹 METHOD PERFORMANCE -------------------------------------------------- ARIMA MAPE : 18.33% (MAE: 3,221,752, R²: -0.5042) SARIMA MAPE : 35.20% (MAE: 7,588,755, R²: -5.3157) Exponential Smoothing MAPE : 11.97% (MAE: 2,317,423, R²: 0.4031) Prophet MAPE : 12.55% (MAE: 2,385,833, R²: 0.2963) Extra Trees MAPE : 14.31% (MAE: 2,670,071, R²: 0.1751) Ensemble MAPE : 12.96% (MAE: 2,400,219, R²: 0.2848) 🔹 STATISTICAL TESTS -------------------------------------------------- Residuals Normality : Normal (Shapiro-Wilk p-value: 0.6009) Mean Absolute Deviation : 2,023,906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24,037,941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35.20 7588755.20 -5.32 -30.92 Exponential Smoothing 11.97 2317422.63 0.40 10.44 Prophet 12.55 2385833.25 0.30 5.28 Extra Trees 14.31 2670071.18 0.18 9.81 Ensemble 12.96 2400219.38 0.28 8.30 🔍 KEY INSIGHTS: • Best performing method: Exponential Smoothing with 11.97% MAPE • Test period covered: 12 months • Training period: 96 months • Ensemble forecast over-predicts by 1,841,958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</si>
  <si>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13.13% MAPE reduction (Exponential Smoothing vs SARIMA) 🔹 METHOD PERFORMANCE -------------------------------------------------- ARIMA MAPE : 18.33% (MAE: 3,221,752, R²: -0.5042) SARIMA MAPE : 25.10% (MAE: 5,537,774, R²: -2.3928) Exponential Smoothing MAPE : 11.97% (MAE: 2,317,423, R²: 0.4031) Prophet MAPE : 12.58% (MAE: 2,374,423, R²: 0.2878) Extra Trees MAPE : 14.41% (MAE: 2,674,691, R²: 0.1486) Ensemble MAPE : 13.17% (MAE: 2,428,396, R²: 0.2617) 🔹 STATISTICAL TESTS -------------------------------------------------- Residuals Normality : Normal (Shapiro-Wilk p-value: 0.6621) Mean Absolute Deviation : 1,975,285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24,236,530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25.10 5537773.79 -2.39 -23.72 Exponential Smoothing 11.97 2317422.63 0.40 10.44 Prophet 12.58 2374423.46 0.29 5.79 Extra Trees 14.41 2674690.58 0.15 10.71 Ensemble 13.17 2428395.71 0.26 9.19 🔍 KEY INSIGHTS: • Best performing method: Exponential Smoothing with 11.97% MAPE • Test period covered: 12 months • Training period: 96 months • Ensemble forecast over-predicts by 2,040,547 units on average</t>
  </si>
  <si>
    <t>🔹 OVERALL PERFORMANCE -------------------------------------------------- Best Method : SARIMA (MAPE: 8.11%) 🔹 BEST METHOD METRICS -------------------------------------------------- Mean Absolute Error : 1,772,286 (SARIMA performance) Root Mean Square Error : 2,318,897 (SARIMA performance) Mean Absolute Percentage Error: 8.11% (SARIMA performance) R-Squared : 0.5686 (SARIMA performance) Forecast Bias : 543,970 (SARIMA performance) Bias Percentage : 2.23%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17.13% MAPE reduction (SARIMA vs Exponential Smoothing) 🔹 METHOD PERFORMANCE -------------------------------------------------- ARIMA MAPE : 19.52% (MAE: 4,849,031, R²: -1.3093) SARIMA MAPE : 8.11% (MAE: 1,772,286, R²: 0.5686) Exponential Smoothing MAPE : 25.24% (MAE: 6,216,669, R²: -2.5822) Prophet MAPE : 19.11% (MAE: 4,681,522, R²: -0.9576) Extra Trees MAPE : 14.74% (MAE: 3,789,339, R²: -0.4405) Ensemble MAPE : 14.85% (MAE: 3,823,958, R²: -0.4667) 🔹 STATISTICAL TESTS -------------------------------------------------- Residuals Normality : Normal (Shapiro-Wilk p-value: 0.0876) Mean Absolute Deviation : 2,122,988 (Residuals spread measure) 🔹 DIRECTIONAL ANALYSIS -------------------------------------------------- Directional Accuracy : 72.7%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21,090,919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8.11 1772285.95 0.57 2.23 Exponential Smoothing 25.24 6216669.06 -2.58 -24.51 Prophet 19.11 4681522.00 -0.96 -16.56 Extra Trees 14.74 3789339.13 -0.44 -12.98 Ensemble 14.85 3823958.02 -0.47 -13.63 🔍 KEY INSIGHTS: • Best performing method: SARIMA with 8.11% MAPE • Test period covered: 12 months • Training period: 108 months • Ensemble forecast under-predicts by 3,327,684 units on average</t>
  </si>
  <si>
    <t>🔹 OVERALL PERFORMANCE -------------------------------------------------- Best Method : SARIMA (MAPE: 8.27%) 🔹 BEST METHOD METRICS -------------------------------------------------- Mean Absolute Error : 1,919,051 (SARIMA performance) Root Mean Square Error : 2,288,179 (SARIMA performance) Mean Absolute Percentage Error: 8.27% (SARIMA performance) R-Squared : 0.5800 (SARIMA performance) Forecast Bias : -268,712 (SARIMA performance) Bias Percentage : -1.10%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16.97% MAPE reduction (SARIMA vs Exponential Smoothing) 🔹 METHOD PERFORMANCE -------------------------------------------------- ARIMA MAPE : 19.52% (MAE: 4,849,031, R²: -1.3093) SARIMA MAPE : 8.27% (MAE: 1,919,051, R²: 0.5800) Exponential Smoothing MAPE : 25.24% (MAE: 6,216,669, R²: -2.5822) Prophet MAPE : 21.90% (MAE: 5,337,146, R²: -1.5424) Extra Trees MAPE : 15.06% (MAE: 3,881,761, R²: -0.5368) Ensemble MAPE : 15.52% (MAE: 4,002,282, R²: -0.6265) 🔹 STATISTICAL TESTS -------------------------------------------------- Residuals Normality : Normal (Shapiro-Wilk p-value: 0.1022) Mean Absolute Deviation : 2,134,975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20,823,559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8.27 1919050.68 0.58 -1.10 Exponential Smoothing 25.24 6216669.06 -2.58 -24.51 Prophet 21.90 5337146.45 -1.54 -19.05 Extra Trees 15.06 3881761.16 -0.54 -13.74 Ensemble 15.52 4002282.21 -0.63 -14.72 🔍 KEY INSIGHTS: • Best performing method: SARIMA with 8.27% MAPE • Test period covered: 12 months • Training period: 108 months • Ensemble forecast under-predicts by 3,595,044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</si>
  <si>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12.50% MAPE reduction (Exponential Smoothing vs SARIMA) 🔹 METHOD PERFORMANCE -------------------------------------------------- ARIMA MAPE : 18.33% (MAE: 3,221,752, R²: -0.5042) SARIMA MAPE : 24.47% (MAE: 5,443,428, R²: -2.3038) Exponential Smoothing MAPE : 11.97% (MAE: 2,317,423, R²: 0.4031) Prophet MAPE : 12.58% (MAE: 2,363,024, R²: 0.2830) Extra Trees MAPE : 14.40% (MAE: 2,682,235, R²: 0.1628) Ensemble MAPE : 13.28% (MAE: 2,457,354, R²: 0.2614) 🔹 STATISTICAL TESTS -------------------------------------------------- Residuals Normality : Normal (Shapiro-Wilk p-value: 0.6997) Mean Absolute Deviation : 1,992,554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24,185,742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24.47 5443427.81 -2.30 -23.34 Exponential Smoothing 11.97 2317422.63 0.40 10.44 Prophet 12.58 2363023.85 0.28 6.13 Extra Trees 14.40 2682234.83 0.16 10.31 Ensemble 13.28 2457354.00 0.26 8.96 🔍 KEY INSIGHTS: • Best performing method: Exponential Smoothing with 11.97% MAPE • Test period covered: 12 months • Training period: 96 months • Ensemble forecast over-predicts by 1,989,758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</si>
  <si>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14.10% MAPE reduction (Exponential Smoothing vs SARIMA) 🔹 METHOD PERFORMANCE -------------------------------------------------- ARIMA MAPE : 18.33% (MAE: 3,221,752, R²: -0.5042) SARIMA MAPE : 26.07% (MAE: 5,703,348, R²: -2.6545) Exponential Smoothing MAPE : 11.97% (MAE: 2,317,423, R²: 0.4031) Prophet MAPE : 12.54% (MAE: 2,364,022, R²: 0.2956) Extra Trees MAPE : 13.85% (MAE: 2,578,663, R²: 0.2221) Ensemble MAPE : 12.82% (MAE: 2,371,356, R²: 0.3048) 🔹 STATISTICAL TESTS -------------------------------------------------- Residuals Normality : Normal (Shapiro-Wilk p-value: 0.7871) Mean Absolute Deviation : 1,981,331 (Residuals spread measure) 🔹 DIRECTIONAL ANALYSIS -------------------------------------------------- Directional Accuracy : 54.5%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24,052,101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26.07 5703348.47 -2.65 -21.56 Exponential Smoothing 11.97 2317422.63 0.40 10.44 Prophet 12.54 2364022.31 0.30 5.78 Extra Trees 13.85 2578662.90 0.22 9.57 Ensemble 12.82 2371356.16 0.30 8.36 🔍 KEY INSIGHTS: • Best performing method: Exponential Smoothing with 11.97% MAPE • Test period covered: 12 months • Training period: 96 months • Ensemble forecast over-predicts by 1,856,117 units on average</t>
  </si>
  <si>
    <t>🔹 OVERALL PERFORMANCE -------------------------------------------------- Best Method : SARIMA (MAPE: 7.78%) 🔹 BEST METHOD METRICS -------------------------------------------------- Mean Absolute Error : 1,779,496 (SARIMA performance) Root Mean Square Error : 2,373,556 (SARIMA performance) Mean Absolute Percentage Error: 7.78% (SARIMA performance) R-Squared : 0.5480 (SARIMA performance) Forecast Bias : 210,229 (SARIMA performance) Bias Percentage : 0.86%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17.46% MAPE reduction (SARIMA vs Exponential Smoothing) 🔹 METHOD PERFORMANCE -------------------------------------------------- ARIMA MAPE : 19.52% (MAE: 4,849,031, R²: -1.3093) SARIMA MAPE : 7.78% (MAE: 1,779,496, R²: 0.5480) Exponential Smoothing MAPE : 25.24% (MAE: 6,216,669, R²: -2.5822) Prophet MAPE : 17.41% (MAE: 4,292,683, R²: -0.6527) Extra Trees MAPE : 15.09% (MAE: 3,896,394, R²: -0.5489) Ensemble MAPE : 14.87% (MAE: 3,850,187, R²: -0.5160) 🔹 STATISTICAL TESTS -------------------------------------------------- Residuals Normality : Normal (Shapiro-Wilk p-value: 0.0951) Mean Absolute Deviation : 2,114,041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20,986,040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7.78 1779496.41 0.55 0.86 Exponential Smoothing 25.24 6216669.06 -2.58 -24.51 Prophet 17.41 4292683.28 -0.65 -15.25 Extra Trees 15.09 3896393.80 -0.55 -13.82 Ensemble 14.87 3850186.75 -0.52 -14.06 🔍 KEY INSIGHTS: • Best performing method: SARIMA with 7.78% MAPE • Test period covered: 12 months • Training period: 108 months • Ensemble forecast under-predicts by 3,432,563 units on average</t>
  </si>
  <si>
    <t>🔹 OVERALL PERFORMANCE -------------------------------------------------- Best Method : SARIMA (MAPE: 8.06%) 🔹 BEST METHOD METRICS -------------------------------------------------- Mean Absolute Error : 1,781,546 (SARIMA performance) Root Mean Square Error : 2,253,823 (SARIMA performance) Mean Absolute Percentage Error: 8.06% (SARIMA performance) R-Squared : 0.5925 (SARIMA performance) Forecast Bias : 377,288 (SARIMA performance) Bias Percentage : 1.55%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17.18% MAPE reduction (SARIMA vs Exponential Smoothing) 🔹 METHOD PERFORMANCE -------------------------------------------------- ARIMA MAPE : 19.52% (MAE: 4,849,031, R²: -1.3093) SARIMA MAPE : 8.06% (MAE: 1,781,546, R²: 0.5925) Exponential Smoothing MAPE : 25.24% (MAE: 6,216,669, R²: -2.5822) Prophet MAPE : 21.29% (MAE: 5,204,408, R²: -1.4095) Extra Trees MAPE : 15.03% (MAE: 3,848,425, R²: -0.4618) Ensemble MAPE : 15.14% (MAE: 3,906,541, R²: -0.5352) 🔹 STATISTICAL TESTS -------------------------------------------------- Residuals Normality : Normal (Shapiro-Wilk p-value: 0.0508) Mean Absolute Deviation : 2,173,383 (Residuals spread measure) 🔹 DIRECTIONAL ANALYSIS -------------------------------------------------- Directional Accuracy : 72.7%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20,988,797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8.06 1781545.91 0.59 1.55 Exponential Smoothing 25.24 6216669.06 -2.58 -24.51 Prophet 21.29 5204408.44 -1.41 -18.72 Extra Trees 15.03 3848424.75 -0.46 -13.03 Ensemble 15.14 3906540.86 -0.54 -14.05 🔍 KEY INSIGHTS: • Best performing method: SARIMA with 8.06% MAPE • Test period covered: 12 months • Training period: 108 months • Ensemble forecast under-predicts by 3,429,807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</si>
  <si>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10.13% MAPE reduction (Exponential Smoothing vs SARIMA) 🔹 METHOD PERFORMANCE -------------------------------------------------- ARIMA MAPE : 18.33% (MAE: 3,221,752, R²: -0.5042) SARIMA MAPE : 22.10% (MAE: 4,943,960, R²: -1.7439) Exponential Smoothing MAPE : 11.97% (MAE: 2,317,423, R²: 0.4031) Prophet MAPE : 12.69% (MAE: 2,388,803, R²: 0.2786) Extra Trees MAPE : 14.04% (MAE: 2,651,693, R²: 0.2079) Ensemble MAPE : 13.07% (MAE: 2,447,090, R²: 0.2990) 🔹 STATISTICAL TESTS -------------------------------------------------- Residuals Normality : Normal (Shapiro-Wilk p-value: 0.6595) Mean Absolute Deviation : 1,914,425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24,270,107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22.10 4943959.54 -1.74 -20.78 Exponential Smoothing 11.97 2317422.63 0.40 10.44 Prophet 12.69 2388803.07 0.28 6.19 Extra Trees 14.04 2651692.66 0.21 10.70 Ensemble 13.07 2447089.50 0.30 9.34 🔍 KEY INSIGHTS: • Best performing method: Exponential Smoothing with 11.97% MAPE • Test period covered: 12 months • Training period: 96 months • Ensemble forecast over-predicts by 2,074,123 units on average</t>
  </si>
  <si>
    <t>🔹 OVERALL PERFORMANCE -------------------------------------------------- Best Method : Exponential Smoothing (MAPE: 11.97%) 🔹 BEST METHOD METRICS -------------------------------------------------- Mean Absolute Error : 2,317,423 (Exponential Smoothing performance) Root Mean Square Error : 2,835,862 (Exponential Smoothing performance) Mean Absolute Percentage Error: 11.97% (Exponential Smoothing performance) R-Squared : 0.4031 (Exponential Smoothing performance) Forecast Bias : 2,317,423 (Exponential Smoothing performance) Bias Percentage : 10.44% (Exponential Smoothing performance) 🔹 DATA COVERAGE -------------------------------------------------- Training Period : 2015-01 to 2022-12 (96 months) Test Period : 2023-01 to 2023-12 (12 months) 🔹 MODEL INSIGHTS -------------------------------------------------- Method Improvement : 13.07% MAPE reduction (Exponential Smoothing vs SARIMA) 🔹 METHOD PERFORMANCE -------------------------------------------------- ARIMA MAPE : 18.33% (MAE: 3,221,752, R²: -0.5042) SARIMA MAPE : 25.04% (MAE: 5,581,971, R²: -2.5194) Exponential Smoothing MAPE : 11.97% (MAE: 2,317,423, R²: 0.4031) Prophet MAPE : 12.08% (MAE: 2,274,888, R²: 0.3306) Extra Trees MAPE : 14.79% (MAE: 2,760,137, R²: 0.1155) Ensemble MAPE : 13.44% (MAE: 2,489,747, R²: 0.2474) 🔹 STATISTICAL TESTS -------------------------------------------------- Residuals Normality : Normal (Shapiro-Wilk p-value: 0.7436) Mean Absolute Deviation : 1,954,268 (Residuals spread measure) 🔹 DIRECTIONAL ANALYSIS -------------------------------------------------- Directional Accuracy : 63.6% (Correct direction prediction rate) 🔹 FORECAST CHARACTERISTICS -------------------------------------------------- Training Data Mean : 26,292,935 (Average monthly quantity in training) Test Data Mean : 22,195,984 (Average monthly quantity in test period) Ensemble Forecast Mean : 24,308,320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18.33 3221752.09 -0.50 11.56 SARIMA 25.04 5581971.21 -2.52 -22.95 Exponential Smoothing 11.97 2317422.63 0.40 10.44 Prophet 12.08 2274887.73 0.33 5.29 Extra Trees 14.79 2760136.54 0.12 11.26 Ensemble 13.44 2489746.68 0.25 9.52 🔍 KEY INSIGHTS: • Best performing method: Exponential Smoothing with 11.97% MAPE • Test period covered: 12 months • Training period: 96 months • Ensemble forecast over-predicts by 2,112,337 units on average</t>
  </si>
  <si>
    <t>🔹 OVERALL PERFORMANCE -------------------------------------------------- Best Method : SARIMA (MAPE: 8.39%) 🔹 BEST METHOD METRICS -------------------------------------------------- Mean Absolute Error : 1,929,191 (SARIMA performance) Root Mean Square Error : 2,481,817 (SARIMA performance) Mean Absolute Percentage Error: 8.39% (SARIMA performance) R-Squared : 0.5059 (SARIMA performance) Forecast Bias : -531 (SARIMA performance) Bias Percentage : -0.00% (SARIMA performance) 🔹 DATA COVERAGE -------------------------------------------------- Training Period : 2015-01 to 2023-12 (108 months) Test Period : 2024-01 to 2024-12 (12 months) 🔹 MODEL INSIGHTS -------------------------------------------------- Method Improvement : 16.85% MAPE reduction (SARIMA vs Exponential Smoothing) 🔹 METHOD PERFORMANCE -------------------------------------------------- ARIMA MAPE : 19.52% (MAE: 4,849,031, R²: -1.3093) SARIMA MAPE : 8.39% (MAE: 1,929,191, R²: 0.5059) Exponential Smoothing MAPE : 25.24% (MAE: 6,216,669, R²: -2.5822) Prophet MAPE : 21.47% (MAE: 5,234,105, R²: -1.4479) Extra Trees MAPE : 14.65% (MAE: 3,777,798, R²: -0.4598) Ensemble MAPE : 15.18% (MAE: 3,911,825, R²: -0.5456) 🔹 STATISTICAL TESTS -------------------------------------------------- Residuals Normality : Normal (Shapiro-Wilk p-value: 0.1032) Mean Absolute Deviation : 2,099,993 (Residuals spread measure) 🔹 DIRECTIONAL ANALYSIS -------------------------------------------------- Directional Accuracy : 63.6% (Correct direction prediction rate) 🔹 FORECAST CHARACTERISTICS -------------------------------------------------- Training Data Mean : 25,837,718 (Average monthly quantity in training) Test Data Mean : 24,418,603 (Average monthly quantity in test period) Ensemble Forecast Mean : 20,947,173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19.52 4849030.85 -1.31 -16.41 SARIMA 8.39 1929190.56 0.51 -0.00 Exponential Smoothing 25.24 6216669.06 -2.58 -24.51 Prophet 21.47 5234105.48 -1.45 -18.75 Extra Trees 14.65 3777798.00 -0.46 -13.18 Ensemble 15.18 3911825.15 -0.55 -14.22 🔍 KEY INSIGHTS: • Best performing method: SARIMA with 8.39% MAPE • Test period covered: 12 months • Training period: 108 months • Ensemble forecast under-predicts by 3,471,430 units on average</t>
  </si>
  <si>
    <t>Summary:</t>
  </si>
  <si>
    <t>2022 Test Period</t>
  </si>
  <si>
    <t>2021 Test Period</t>
  </si>
  <si>
    <t># of Months</t>
  </si>
  <si>
    <t>Mean Absolute Percentage Error</t>
  </si>
  <si>
    <t>(from)        Train Set      (to)</t>
  </si>
  <si>
    <t>(from)       Test Set      (to)</t>
  </si>
  <si>
    <t>ARIMA</t>
  </si>
  <si>
    <t>SARIMA</t>
  </si>
  <si>
    <t>Exponential Smoothing</t>
  </si>
  <si>
    <t>Ensemble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</si>
  <si>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7.62% MAPE reduction (ARIMA vs SARIMA) 🔹 METHOD PERFORMANCE -------------------------------------------------- ARIMA MAPE : 13.56% (MAE: 2,987,179, R²: -0.1813) SARIMA MAPE : 21.18% (MAE: 5,097,922, R²: -1.4142) Exponential Smoothing MAPE : 18.89% (MAE: 4,363,871, R²: -0.9375) Prophet MAPE : 13.59% (MAE: 3,269,112, R²: -0.1462) Extra Trees MAPE : 14.37% (MAE: 3,272,411, R²: -0.2836) Ensemble MAPE : 13.93% (MAE: 3,194,663, R²: -0.1973) 🔹 STATISTICAL TESTS -------------------------------------------------- Residuals Normality : Normal (Shapiro-Wilk p-value: 0.0842) Mean Absolute Deviation : 2,746,930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28,076,476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21.18 5097921.71 -1.41 16.97 Exponential Smoothing 18.89 4363871.12 -0.94 12.70 Prophet 13.59 3269112.11 -0.15 2.07 Extra Trees 14.37 3272411.31 -0.28 9.26 Ensemble 13.93 3194663.05 -0.20 7.87 🔍 KEY INSIGHTS: • Best performing method: ARIMA with 13.56% MAPE • Test period covered: 12 months • Training period: 84 months • Ensemble forecast over-predicts by 2,048,326 units on average</t>
  </si>
  <si>
    <t>🔹 OVERALL PERFORMANCE -------------------------------------------------- Best Method : Extra Trees (MAPE: 7.08%) 🔹 BEST METHOD METRICS -------------------------------------------------- Mean Absolute Error : 2,158,024 (Extra Trees performance) Root Mean Square Error : 2,680,648 (Extra Trees performance) Mean Absolute Percentage Error: 7.08% (Extra Trees performance) R-Squared : 0.4229 (Extra Trees performance) Forecast Bias : -1,656,723 (Extra Trees performance) Bias Percentage : -5.81%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10.72% MAPE reduction (Extra Trees vs SARIMA) 🔹 METHOD PERFORMANCE -------------------------------------------------- ARIMA MAPE : 13.59% (MAE: 3,771,589, R²: -0.5494) SARIMA MAPE : 17.79% (MAE: 5,101,820, R²: -1.5225) Exponential Smoothing MAPE : 8.37% (MAE: 2,268,422, R²: 0.3282) Prophet MAPE : 10.32% (MAE: 3,038,871, R²: 0.0993) Extra Trees MAPE : 7.08% (MAE: 2,158,024, R²: 0.4229) Ensemble MAPE : 7.84% (MAE: 2,364,698, R²: 0.3676) 🔹 STATISTICAL TESTS -------------------------------------------------- Residuals Normality : Normal (Shapiro-Wilk p-value: 0.8012) Mean Absolute Deviation : 1,829,081 (Residuals spread measure) 🔹 DIRECTIONAL ANALYSIS -------------------------------------------------- Directional Accuracy : 45.5%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26,724,740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17.79 5101820.38 -1.52 -17.88 Exponential Smoothing 8.37 2268422.13 0.33 0.58 Prophet 10.32 3038871.00 0.10 -7.35 Extra Trees 7.08 2158024.03 0.42 -5.81 Ensemble 7.84 2364697.82 0.37 -6.34 🔍 KEY INSIGHTS: • Best performing method: Extra Trees with 7.08% MAPE • Test period covered: 12 months • Training period: 72 months • Ensemble forecast under-predicts by 1,810,534 units on average</t>
  </si>
  <si>
    <t>🔹 OVERALL PERFORMANCE -------------------------------------------------- Best Method : Extra Trees (MAPE: 7.08%) 🔹 BEST METHOD METRICS -------------------------------------------------- Mean Absolute Error : 2,109,778 (Extra Trees performance) Root Mean Square Error : 2,516,364 (Extra Trees performance) Mean Absolute Percentage Error: 7.08% (Extra Trees performance) R-Squared : 0.4915 (Extra Trees performance) Forecast Bias : -1,361,332 (Extra Trees performance) Bias Percentage : -4.77%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9.38% MAPE reduction (Extra Trees vs SARIMA) 🔹 METHOD PERFORMANCE -------------------------------------------------- ARIMA MAPE : 13.59% (MAE: 3,771,589, R²: -0.5494) SARIMA MAPE : 16.46% (MAE: 4,709,636, R²: -1.1420) Exponential Smoothing MAPE : 8.37% (MAE: 2,268,422, R²: 0.3282) Prophet MAPE : 10.39% (MAE: 3,059,312, R²: 0.0898) Extra Trees MAPE : 7.08% (MAE: 2,109,778, R²: 0.4915) Ensemble MAPE : 7.53% (MAE: 2,247,852, R²: 0.4247) 🔹 STATISTICAL TESTS -------------------------------------------------- Residuals Normality : Normal (Shapiro-Wilk p-value: 0.8571) Mean Absolute Deviation : 1,875,214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26,933,687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16.46 4709636.07 -1.14 -16.20 Exponential Smoothing 8.37 2268422.13 0.33 0.58 Prophet 10.39 3059311.78 0.09 -7.43 Extra Trees 7.08 2109778.45 0.49 -4.77 Ensemble 7.53 2247851.89 0.42 -5.61 🔍 KEY INSIGHTS: • Best performing method: Extra Trees with 7.08% MAPE • Test period covered: 12 months • Training period: 72 months • Ensemble forecast under-predicts by 1,601,587 units on average</t>
  </si>
  <si>
    <t>(Base) overall_monthly_with_economic_and_future.csv</t>
  </si>
  <si>
    <t>🔹 OVERALL PERFORMANCE -------------------------------------------------- Best Method : Ensemble (MAPE: 13.17%) 🔹 BEST METHOD METRICS -------------------------------------------------- Mean Absolute Error : 3,015,638 (Ensemble performance) Root Mean Square Error : 4,080,197 (Ensemble performance) Mean Absolute Percentage Error: 13.17% (Ensemble performance) R-Squared : -0.1104 (Ensemble performance) Forecast Bias : 1,793,151 (Ensemble performance) Bias Percentage : 6.89% (Ensemble performance) 🔹 DATA COVERAGE -------------------------------------------------- Training Period : 2015-01 to 2021-12 (84 months) Test Period : 2022-01 to 2022-12 (12 months) 🔹 MODEL INSIGHTS -------------------------------------------------- Method Improvement : 8.02% MAPE reduction (Ensemble vs SARIMA) 🔹 METHOD PERFORMANCE -------------------------------------------------- ARIMA MAPE : 13.56% (MAE: 2,987,179, R²: -0.1813) SARIMA MAPE : 21.20% (MAE: 5,092,998, R²: -1.4111) Exponential Smoothing MAPE : 18.89% (MAE: 4,363,871, R²: -0.9375) Prophet MAPE : 13.63% (MAE: 3,279,452, R²: -0.1548) Extra Trees MAPE : 13.45% (MAE: 3,047,724, R²: -0.1545) Ensemble MAPE : 13.17% (MAE: 3,015,638, R²: -0.1104) 🔹 STATISTICAL TESTS -------------------------------------------------- Residuals Normality : Normal (Shapiro-Wilk p-value: 0.0801) Mean Absolute Deviation : 2,692,195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27,821,302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21.20 5092997.98 -1.41 17.03 Exponential Smoothing 18.89 4363871.12 -0.94 12.70 Prophet 13.63 3279452.15 -0.15 1.95 Extra Trees 13.45 3047723.95 -0.15 8.01 Ensemble 13.17 3015637.87 -0.11 6.89 🔍 KEY INSIGHTS: • Best performing method: Ensemble with 13.17% MAPE • Test period covered: 12 months • Training period: 84 months • Ensemble forecast over-predicts by 1,793,151 units on average</t>
  </si>
  <si>
    <t>🔹 OVERALL PERFORMANCE -------------------------------------------------- Best Method : Prophet (MAPE: 13.29%) 🔹 BEST METHOD METRICS -------------------------------------------------- Mean Absolute Error : 3,194,815 (Prophet performance) Root Mean Square Error : 4,088,834 (Prophet performance) Mean Absolute Percentage Error: 13.29% (Prophet performance) R-Squared : -0.1152 (Prophet performance) Forecast Bias : 472,898 (Prophet performance) Bias Percentage : 1.82% (Prophet performance) 🔹 DATA COVERAGE -------------------------------------------------- Training Period : 2015-01 to 2021-12 (84 months) Test Period : 2022-01 to 2022-12 (12 months) 🔹 MODEL INSIGHTS -------------------------------------------------- Method Improvement : 11.47% MAPE reduction (Prophet vs SARIMA) 🔹 METHOD PERFORMANCE -------------------------------------------------- ARIMA MAPE : 13.56% (MAE: 2,987,179, R²: -0.1813) SARIMA MAPE : 24.76% (MAE: 6,073,981, R²: -2.3112) Exponential Smoothing MAPE : 18.89% (MAE: 4,363,871, R²: -0.9375) Prophet MAPE : 13.29% (MAE: 3,194,815, R²: -0.1152) Extra Trees MAPE : 14.24% (MAE: 3,235,076, R²: -0.2735) Ensemble MAPE : 13.74% (MAE: 3,147,924, R²: -0.1769) 🔹 STATISTICAL TESTS -------------------------------------------------- Residuals Normality : Normal (Shapiro-Wilk p-value: 0.0718) Mean Absolute Deviation : 2,709,417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28,091,698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24.76 6073981.22 -2.31 19.77 Exponential Smoothing 18.89 4363871.12 -0.94 12.70 Prophet 13.29 3194814.77 -0.12 1.82 Extra Trees 14.24 3235076.27 -0.27 9.40 Ensemble 13.74 3147923.57 -0.18 7.93 🔍 KEY INSIGHTS: • Best performing method: Prophet with 13.29% MAPE • Test period covered: 12 months • Training period: 84 months • Ensemble forecast over-predicts by 2,063,547 units on average</t>
  </si>
  <si>
    <t>🔹 OVERALL PERFORMANCE -------------------------------------------------- Best Method : Extra Trees (MAPE: 6.61%) 🔹 BEST METHOD METRICS -------------------------------------------------- Mean Absolute Error : 1,998,735 (Extra Trees performance) Root Mean Square Error : 2,428,620 (Extra Trees performance) Mean Absolute Percentage Error: 6.61% (Extra Trees performance) R-Squared : 0.5263 (Extra Trees performance) Forecast Bias : -1,285,402 (Extra Trees performance) Bias Percentage : -4.50%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19.26% MAPE reduction (Extra Trees vs SARIMA) 🔹 METHOD PERFORMANCE -------------------------------------------------- ARIMA MAPE : 13.59% (MAE: 3,771,589, R²: -0.5494) SARIMA MAPE : 25.87% (MAE: 7,308,144, R²: -3.7289) Exponential Smoothing MAPE : 8.37% (MAE: 2,268,422, R²: 0.3282) Prophet MAPE : 10.30% (MAE: 3,023,748, R²: 0.1213) Extra Trees MAPE : 6.61% (MAE: 1,998,735, R²: 0.5263) Ensemble MAPE : 7.22% (MAE: 2,177,047, R²: 0.4449) 🔹 STATISTICAL TESTS -------------------------------------------------- Residuals Normality : Normal (Shapiro-Wilk p-value: 0.7843) Mean Absolute Deviation : 1,854,570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26,960,993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25.87 7308144.06 -3.73 -25.61 Exponential Smoothing 8.37 2268422.13 0.33 0.58 Prophet 10.30 3023747.54 0.12 -7.01 Extra Trees 6.61 1998734.68 0.53 -4.50 Ensemble 7.22 2177047.03 0.44 -5.52 🔍 KEY INSIGHTS: • Best performing method: Extra Trees with 6.61% MAPE • Test period covered: 12 months • Training period: 72 months • Ensemble forecast under-predicts by 1,574,281 units on average</t>
  </si>
  <si>
    <t>Orders by Created Date Past 10 Years.csv 
'Net Order Value USD'</t>
  </si>
  <si>
    <t>CPI_Monthly_2020Base_Germany.csv
 'CPI'</t>
  </si>
  <si>
    <t>new_manufacturing_orders_v2.csv
 'volume_index'</t>
  </si>
  <si>
    <t>hicp_data.csv
 'HICP'</t>
  </si>
  <si>
    <t>Crude Oil.csv
 'Crude Oil Brent Europe Price in EUR'</t>
  </si>
  <si>
    <t>Global Supply Chain Pressure Index (GSCPI) - updated.csv
 'Global Supply Chain Pressure Index'</t>
  </si>
  <si>
    <t>USD to EUR historical exchange rates.csv
 'USD to EUR Exchange Rate'</t>
  </si>
  <si>
    <t>🔹 OVERALL PERFORMANCE -------------------------------------------------- Best Method : Extra Trees (MAPE: 7.41%) 🔹 BEST METHOD METRICS -------------------------------------------------- Mean Absolute Error : 2,223,203 (Extra Trees performance) Root Mean Square Error : 2,773,726 (Extra Trees performance) Mean Absolute Percentage Error: 7.41% (Extra Trees performance) R-Squared : 0.3822 (Extra Trees performance) Forecast Bias : -1,783,352 (Extra Trees performance) Bias Percentage : -6.25%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9.28% MAPE reduction (Extra Trees vs SARIMA) 🔹 METHOD PERFORMANCE -------------------------------------------------- ARIMA MAPE : 13.59% (MAE: 3,771,589, R²: -0.5494) SARIMA MAPE : 16.69% (MAE: 4,774,054, R²: -1.2112) Exponential Smoothing MAPE : 8.37% (MAE: 2,268,422, R²: 0.3282) Prophet MAPE : 11.30% (MAE: 3,353,676, R²: -0.1425) Extra Trees MAPE : 7.41% (MAE: 2,223,203, R²: 0.3822) Ensemble MAPE : 8.17% (MAE: 2,447,580, R²: 0.2947) 🔹 STATISTICAL TESTS -------------------------------------------------- Residuals Normality : Normal (Shapiro-Wilk p-value: 0.8868) Mean Absolute Deviation : 1,894,351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26,500,373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16.69 4774053.71 -1.21 -16.54 Exponential Smoothing 8.37 2268422.13 0.33 0.58 Prophet 11.30 3353676.37 -0.14 -9.40 Extra Trees 7.41 2223203.06 0.38 -6.25 Ensemble 8.17 2447579.98 0.29 -7.13 🔍 KEY INSIGHTS: • Best performing method: Extra Trees with 7.41% MAPE • Test period covered: 12 months • Training period: 72 months • Ensemble forecast under-predicts by 2,034,901 units on average</t>
  </si>
  <si>
    <t>🔹 OVERALL PERFORMANCE -------------------------------------------------- Best Method : Prophet (MAPE: 13.11%) 🔹 BEST METHOD METRICS -------------------------------------------------- Mean Absolute Error : 3,152,050 (Prophet performance) Root Mean Square Error : 4,040,570 (Prophet performance) Mean Absolute Percentage Error: 13.11% (Prophet performance) R-Squared : -0.0890 (Prophet performance) Forecast Bias : 501,014 (Prophet performance) Bias Percentage : 1.92% (Prophet performance) 🔹 DATA COVERAGE -------------------------------------------------- Training Period : 2015-01 to 2021-12 (84 months) Test Period : 2022-01 to 2022-12 (12 months) 🔹 MODEL INSIGHTS -------------------------------------------------- Method Improvement : 7.41% MAPE reduction (Prophet vs SARIMA) 🔹 METHOD PERFORMANCE -------------------------------------------------- ARIMA MAPE : 13.56% (MAE: 2,987,179, R²: -0.1813) SARIMA MAPE : 20.52% (MAE: 4,932,645, R²: -1.2653) Exponential Smoothing MAPE : 18.89% (MAE: 4,363,871, R²: -0.9375) Prophet MAPE : 13.11% (MAE: 3,152,050, R²: -0.0890) Extra Trees MAPE : 13.86% (MAE: 3,154,817, R²: -0.1983) Ensemble MAPE : 13.35% (MAE: 3,064,579, R²: -0.1279) 🔹 STATISTICAL TESTS -------------------------------------------------- Residuals Normality : Normal (Shapiro-Wilk p-value: 0.0885) Mean Absolute Deviation : 2,749,220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27,820,459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20.52 4932644.66 -1.27 15.95 Exponential Smoothing 18.89 4363871.12 -0.94 12.70 Prophet 13.11 3152050.00 -0.09 1.92 Extra Trees 13.86 3154816.54 -0.20 8.04 Ensemble 13.35 3064578.62 -0.13 6.89 🔍 KEY INSIGHTS: • Best performing method: Prophet with 13.11% MAPE • Test period covered: 12 months • Training period: 84 months • Ensemble forecast over-predicts by 1,792,309 units on average</t>
  </si>
  <si>
    <t>Prophet</t>
  </si>
  <si>
    <t>Extra Trees</t>
  </si>
  <si>
    <t>🔹 OVERALL PERFORMANCE -------------------------------------------------- Best Method : Prophet (MAPE: 13.16%) 🔹 BEST METHOD METRICS -------------------------------------------------- Mean Absolute Error : 3,151,431 (Prophet performance) Root Mean Square Error : 4,032,051 (Prophet performance) Mean Absolute Percentage Error: 13.16% (Prophet performance) R-Squared : -0.0844 (Prophet performance) Forecast Bias : 452,855 (Prophet performance) Bias Percentage : 1.74% (Prophet performance) 🔹 DATA COVERAGE -------------------------------------------------- Training Period : 2015-01 to 2021-12 (84 months) Test Period : 2022-01 to 2022-12 (12 months) 🔹 MODEL INSIGHTS -------------------------------------------------- Method Improvement : 24.06% MAPE reduction (Prophet vs SARIMA) 🔹 METHOD PERFORMANCE -------------------------------------------------- ARIMA MAPE : 13.56% (MAE: 2,987,179, R²: -0.1813) SARIMA MAPE : 37.23% (MAE: 9,230,720, R²: -6.0281) Exponential Smoothing MAPE : 18.89% (MAE: 4,363,871, R²: -0.9375) Prophet MAPE : 13.16% (MAE: 3,151,431, R²: -0.0844) Extra Trees MAPE : 13.68% (MAE: 3,101,479, R²: -0.1592) Ensemble MAPE : 13.34% (MAE: 3,048,022, R²: -0.1221) 🔹 STATISTICAL TESTS -------------------------------------------------- Residuals Normality : Normal (Shapiro-Wilk p-value: 0.0695) Mean Absolute Deviation : 2,738,087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27,851,878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37.23 9230720.09 -6.03 35.46 Exponential Smoothing 18.89 4363871.12 -0.94 12.70 Prophet 13.16 3151430.74 -0.08 1.74 Extra Trees 13.68 3101478.57 -0.16 7.78 Ensemble 13.34 3048021.88 -0.12 7.01 🔍 KEY INSIGHTS: • Best performing method: Prophet with 13.16% MAPE • Test period covered: 12 months • Training period: 84 months • Ensemble forecast over-predicts by 1,823,728 units on average</t>
  </si>
  <si>
    <t>🔹 OVERALL PERFORMANCE -------------------------------------------------- Best Method : Extra Trees (MAPE: 7.24%) 🔹 BEST METHOD METRICS -------------------------------------------------- Mean Absolute Error : 2,163,791 (Extra Trees performance) Root Mean Square Error : 2,641,034 (Extra Trees performance) Mean Absolute Percentage Error: 7.24% (Extra Trees performance) R-Squared : 0.4399 (Extra Trees performance) Forecast Bias : -1,570,509 (Extra Trees performance) Bias Percentage : -5.50%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6.34% MAPE reduction (Extra Trees vs ARIMA) 🔹 METHOD PERFORMANCE -------------------------------------------------- ARIMA MAPE : 13.59% (MAE: 3,771,589, R²: -0.5494) SARIMA MAPE : 12.38% (MAE: 3,680,501, R²: -0.5773) Exponential Smoothing MAPE : 8.37% (MAE: 2,268,422, R²: 0.3282) Prophet MAPE : 9.51% (MAE: 2,827,793, R²: 0.1453) Extra Trees MAPE : 7.24% (MAE: 2,163,791, R²: 0.4399) Ensemble MAPE : 7.66% (MAE: 2,284,759, R²: 0.3958) 🔹 STATISTICAL TESTS -------------------------------------------------- Residuals Normality : Normal (Shapiro-Wilk p-value: 0.9969) Mean Absolute Deviation : 1,836,864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26,900,502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12.38 3680500.66 -0.58 -9.81 Exponential Smoothing 8.37 2268422.13 0.33 0.58 Prophet 9.51 2827792.79 0.15 -6.31 Extra Trees 7.24 2163791.07 0.44 -5.50 Ensemble 7.66 2284759.35 0.40 -5.73 🔍 KEY INSIGHTS: • Best performing method: Extra Trees with 7.24% MAPE • Test period covered: 12 months • Training period: 72 months • Ensemble forecast under-predicts by 1,634,772 units on average</t>
  </si>
  <si>
    <t>🔹 OVERALL PERFORMANCE -------------------------------------------------- Best Method : Extra Trees (MAPE: 7.43%) 🔹 BEST METHOD METRICS -------------------------------------------------- Mean Absolute Error : 2,225,791 (Extra Trees performance) Root Mean Square Error : 2,670,226 (Extra Trees performance) Mean Absolute Percentage Error: 7.43% (Extra Trees performance) R-Squared : 0.4274 (Extra Trees performance) Forecast Bias : -1,551,823 (Extra Trees performance) Bias Percentage : -5.44%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14.61% MAPE reduction (Extra Trees vs SARIMA) 🔹 METHOD PERFORMANCE -------------------------------------------------- ARIMA MAPE : 13.59% (MAE: 3,771,589, R²: -0.5494) SARIMA MAPE : 22.03% (MAE: 6,305,761, R²: -2.6242) Exponential Smoothing MAPE : 8.37% (MAE: 2,268,422, R²: 0.3282) Prophet MAPE : 10.12% (MAE: 2,969,565, R²: 0.1408) Extra Trees MAPE : 7.43% (MAE: 2,225,791, R²: 0.4274) Ensemble MAPE : 7.85% (MAE: 2,346,525, R²: 0.3790) 🔹 STATISTICAL TESTS -------------------------------------------------- Residuals Normality : Normal (Shapiro-Wilk p-value: 0.7401) Mean Absolute Deviation : 1,912,358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26,804,911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22.03 6305760.89 -2.62 -22.10 Exponential Smoothing 8.37 2268422.13 0.33 0.58 Prophet 10.12 2969565.39 0.14 -6.83 Extra Trees 7.43 2225790.58 0.43 -5.44 Ensemble 7.85 2346524.86 0.38 -6.06 🔍 KEY INSIGHTS: • Best performing method: Extra Trees with 7.43% MAPE • Test period covered: 12 months • Training period: 72 months • Ensemble forecast under-predicts by 1,730,362 units on average</t>
  </si>
  <si>
    <t>🔹 OVERALL PERFORMANCE -------------------------------------------------- Best Method : Ensemble (MAPE: 13.45%) 🔹 BEST METHOD METRICS -------------------------------------------------- Mean Absolute Error : 3,086,841 (Ensemble performance) Root Mean Square Error : 4,139,969 (Ensemble performance) Mean Absolute Percentage Error: 13.45% (Ensemble performance) R-Squared : -0.1432 (Ensemble performance) Forecast Bias : 1,915,857 (Ensemble performance) Bias Percentage : 7.36% (Ensemble performance) 🔹 DATA COVERAGE -------------------------------------------------- Training Period : 2015-01 to 2021-12 (84 months) Test Period : 2022-01 to 2022-12 (12 months) 🔹 MODEL INSIGHTS -------------------------------------------------- Method Improvement : 10.84% MAPE reduction (Ensemble vs SARIMA) 🔹 METHOD PERFORMANCE -------------------------------------------------- ARIMA MAPE : 13.56% (MAE: 2,987,179, R²: -0.1813) SARIMA MAPE : 24.30% (MAE: 5,935,238, R²: -2.1591) Exponential Smoothing MAPE : 18.89% (MAE: 4,363,871, R²: -0.9375) Prophet MAPE : 13.52% (MAE: 3,254,041, R²: -0.1436) Extra Trees MAPE : 13.80% (MAE: 3,139,422, R²: -0.2064) Ensemble MAPE : 13.45% (MAE: 3,086,841, R²: -0.1432) 🔹 STATISTICAL TESTS -------------------------------------------------- Residuals Normality : Normal (Shapiro-Wilk p-value: 0.0841) Mean Absolute Deviation : 2,721,834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27,944,007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24.30 5935238.48 -2.16 20.26 Exponential Smoothing 18.89 4363871.12 -0.94 12.70 Prophet 13.52 3254041.49 -0.14 1.78 Extra Trees 13.80 3139421.60 -0.21 8.62 Ensemble 13.45 3086841.36 -0.14 7.36 🔍 KEY INSIGHTS: • Best performing method: Ensemble with 13.45% MAPE • Test period covered: 12 months • Training period: 84 months • Ensemble forecast over-predicts by 1,915,857 units on average</t>
  </si>
  <si>
    <t>🔹 OVERALL PERFORMANCE -------------------------------------------------- Best Method : Extra Trees (MAPE: 8.29%) 🔹 BEST METHOD METRICS -------------------------------------------------- Mean Absolute Error : 2,479,095 (Extra Trees performance) Root Mean Square Error : 3,059,281 (Extra Trees performance) Mean Absolute Percentage Error: 8.29% (Extra Trees performance) R-Squared : 0.2484 (Extra Trees performance) Forecast Bias : -2,071,071 (Extra Trees performance) Bias Percentage : -7.26%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6.35% MAPE reduction (Extra Trees vs SARIMA) 🔹 METHOD PERFORMANCE -------------------------------------------------- ARIMA MAPE : 13.59% (MAE: 3,771,589, R²: -0.5494) SARIMA MAPE : 14.64% (MAE: 4,258,394, R²: -0.7825) Exponential Smoothing MAPE : 8.37% (MAE: 2,268,422, R²: 0.3282) Prophet MAPE : 11.92% (MAE: 3,513,577, R²: -0.1921) Extra Trees MAPE : 8.29% (MAE: 2,479,095, R²: 0.2484) Ensemble MAPE : 8.96% (MAE: 2,674,921, R²: 0.1936) 🔹 STATISTICAL TESTS -------------------------------------------------- Residuals Normality : Normal (Shapiro-Wilk p-value: 0.6992) Mean Absolute Deviation : 1,988,934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26,318,831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14.64 4258393.95 -0.78 -14.32 Exponential Smoothing 8.37 2268422.13 0.33 0.58 Prophet 11.92 3513577.14 -0.19 -9.28 Extra Trees 8.29 2479095.15 0.25 -7.26 Ensemble 8.96 2674921.08 0.19 -7.77 🔍 KEY INSIGHTS: • Best performing method: Extra Trees with 8.29% MAPE • Test period covered: 12 months • Training period: 72 months • Ensemble forecast under-predicts by 2,216,443 units on average</t>
  </si>
  <si>
    <t>🔹 OVERALL PERFORMANCE -------------------------------------------------- Best Method : ARIMA (MAPE: 13.56%) 🔹 BEST METHOD METRICS -------------------------------------------------- Mean Absolute Error : 2,987,179 (ARIMA performance) Root Mean Square Error : 4,208,339 (ARIMA performance) Mean Absolute Percentage Error: 13.56% (ARIMA performance) R-Squared : -0.1813 (ARIMA performance) Forecast Bias : 1,349,262 (ARIMA performance) Bias Percentage : 5.18% (ARIMA performance) 🔹 DATA COVERAGE -------------------------------------------------- Training Period : 2015-01 to 2021-12 (84 months) Test Period : 2022-01 to 2022-12 (12 months) 🔹 MODEL INSIGHTS -------------------------------------------------- Method Improvement : 10.12% MAPE reduction (ARIMA vs SARIMA) 🔹 METHOD PERFORMANCE -------------------------------------------------- ARIMA MAPE : 13.56% (MAE: 2,987,179, R²: -0.1813) SARIMA MAPE : 23.68% (MAE: 5,777,550, R²: -2.0128) Exponential Smoothing MAPE : 18.89% (MAE: 4,363,871, R²: -0.9375) Prophet MAPE : 15.10% (MAE: 3,572,427, R²: -0.2743) Extra Trees MAPE : 13.81% (MAE: 3,155,447, R²: -0.1745) Ensemble MAPE : 13.90% (MAE: 3,199,419, R²: -0.1829) 🔹 STATISTICAL TESTS -------------------------------------------------- Residuals Normality : Normal (Shapiro-Wilk p-value: 0.0776) Mean Absolute Deviation : 2,751,983 (Residuals spread measure) 🔹 DIRECTIONAL ANALYSIS -------------------------------------------------- Directional Accuracy : 45.5%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28,108,525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23.68 5777550.07 -2.01 19.90 Exponential Smoothing 18.89 4363871.12 -0.94 12.70 Prophet 15.10 3572426.63 -0.27 6.46 Extra Trees 13.81 3155446.63 -0.17 8.11 Ensemble 13.90 3199418.75 -0.18 7.99 🔍 KEY INSIGHTS: • Best performing method: ARIMA with 13.56% MAPE • Test period covered: 12 months • Training period: 84 months • Ensemble forecast over-predicts by 2,080,375 units on average</t>
  </si>
  <si>
    <t>🔹 OVERALL PERFORMANCE -------------------------------------------------- Best Method : Prophet (MAPE: 12.77%) 🔹 BEST METHOD METRICS -------------------------------------------------- Mean Absolute Error : 3,067,823 (Prophet performance) Root Mean Square Error : 3,964,367 (Prophet performance) Mean Absolute Percentage Error: 12.77% (Prophet performance) R-Squared : -0.0483 (Prophet performance) Forecast Bias : 368,193 (Prophet performance) Bias Percentage : 1.41% (Prophet performance) 🔹 DATA COVERAGE -------------------------------------------------- Training Period : 2015-01 to 2021-12 (84 months) Test Period : 2022-01 to 2022-12 (12 months) 🔹 MODEL INSIGHTS -------------------------------------------------- Method Improvement : 25.09% MAPE reduction (Prophet vs SARIMA) 🔹 METHOD PERFORMANCE -------------------------------------------------- ARIMA MAPE : 13.56% (MAE: 2,987,179, R²: -0.1813) SARIMA MAPE : 37.86% (MAE: 9,554,663, R²: -6.7616) Exponential Smoothing MAPE : 18.89% (MAE: 4,363,871, R²: -0.9375) Prophet MAPE : 12.77% (MAE: 3,067,823, R²: -0.0483) Extra Trees MAPE : 13.92% (MAE: 3,169,670, R²: -0.1946) Ensemble MAPE : 13.37% (MAE: 3,068,158, R²: -0.1133) 🔹 STATISTICAL TESTS -------------------------------------------------- Residuals Normality : Normal (Shapiro-Wilk p-value: 0.0751) Mean Absolute Deviation : 2,652,181 (Residuals spread measure) 🔹 DIRECTIONAL ANALYSIS -------------------------------------------------- Directional Accuracy : 54.5% (Correct direction prediction rate) 🔹 FORECAST CHARACTERISTICS -------------------------------------------------- Training Data Mean : 26,330,762 (Average monthly quantity in training) Test Data Mean : 26,028,150 (Average monthly quantity in test period) Ensemble Forecast Mean : 28,086,745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13.56 2987179.22 -0.18 5.18 SARIMA 37.86 9554663.28 -6.76 36.65 Exponential Smoothing 18.89 4363871.12 -0.94 12.70 Prophet 12.77 3067823.44 -0.05 1.41 Extra Trees 13.92 3169669.67 -0.19 9.28 Ensemble 13.37 3068157.88 -0.11 7.91 🔍 KEY INSIGHTS: • Best performing method: Prophet with 12.77% MAPE • Test period covered: 12 months • Training period: 84 months • Ensemble forecast over-predicts by 2,058,595 units on average</t>
  </si>
  <si>
    <t>🔹 OVERALL PERFORMANCE -------------------------------------------------- Best Method : Extra Trees (MAPE: 6.90%) 🔹 BEST METHOD METRICS -------------------------------------------------- Mean Absolute Error : 2,110,166 (Extra Trees performance) Root Mean Square Error : 2,680,999 (Extra Trees performance) Mean Absolute Percentage Error: 6.90% (Extra Trees performance) R-Squared : 0.4228 (Extra Trees performance) Forecast Bias : -1,679,705 (Extra Trees performance) Bias Percentage : -5.89% (Extra Trees performance) 🔹 DATA COVERAGE -------------------------------------------------- Training Period : 2015-01 to 2020-12 (72 months) Test Period : 2021-01 to 2021-12 (12 months) 🔹 MODEL INSIGHTS -------------------------------------------------- Method Improvement : 15.60% MAPE reduction (Extra Trees vs SARIMA) 🔹 METHOD PERFORMANCE -------------------------------------------------- ARIMA MAPE : 13.59% (MAE: 3,771,589, R²: -0.5494) SARIMA MAPE : 22.50% (MAE: 6,588,299, R²: -3.8436) Exponential Smoothing MAPE : 8.37% (MAE: 2,268,422, R²: 0.3282) Prophet MAPE : 11.30% (MAE: 3,319,729, R²: -0.1331) Extra Trees MAPE : 6.90% (MAE: 2,110,166, R²: 0.4228) Ensemble MAPE : 7.95% (MAE: 2,404,477, R²: 0.3243) 🔹 STATISTICAL TESTS -------------------------------------------------- Residuals Normality : Normal (Shapiro-Wilk p-value: 1.0000) Mean Absolute Deviation : 1,762,478 (Residuals spread measure) 🔹 DIRECTIONAL ANALYSIS -------------------------------------------------- Directional Accuracy : 54.5% (Correct direction prediction rate) 🔹 FORECAST CHARACTERISTICS -------------------------------------------------- Training Data Mean : 25,963,343 (Average monthly quantity in training) Test Data Mean : 28,535,274 (Average monthly quantity in test period) Ensemble Forecast Mean : 26,653,295 (Average monthly forecast) ================================================================================ 📊 Complete backtesting summary exported to: backtesting_summary_report.csv 🎯 Overall forecasting backtesting analysis completed successfully! 📋 FINAL BACKTESTING RESULTS: Method MAPE MAE R2 Bias_Percent ARIMA 13.59 3771589.27 -0.55 -8.99 SARIMA 22.50 6588298.98 -3.84 -22.70 Exponential Smoothing 8.37 2268422.13 0.33 0.58 Prophet 11.30 3319728.77 -0.13 -7.38 Extra Trees 6.90 2110165.72 0.42 -5.89 Ensemble 7.95 2404477.08 0.32 -6.60 🔍 KEY INSIGHTS: • Best performing method: Extra Trees with 6.90% MAPE • Test period covered: 12 months • Training period: 72 months • Ensemble forecast under-predicts by 1,881,978 units on average</t>
  </si>
  <si>
    <t>Original (no new data added)</t>
  </si>
  <si>
    <t>2015-01</t>
  </si>
  <si>
    <t>2023-12</t>
  </si>
  <si>
    <t>2024-01</t>
  </si>
  <si>
    <t>2024-12</t>
  </si>
  <si>
    <t>Train (M)</t>
  </si>
  <si>
    <t>Test(M)</t>
  </si>
  <si>
    <t>2022-12</t>
  </si>
  <si>
    <t>2023-01</t>
  </si>
  <si>
    <t>2021-12</t>
  </si>
  <si>
    <t>2022-01</t>
  </si>
  <si>
    <t>2020-12</t>
  </si>
  <si>
    <t>2021-01</t>
  </si>
  <si>
    <t xml:space="preserve">Summary: 
- For the recent years (2023 - 2024), SARIMA is the effective model
- Prophet and Ensemble are stable and reliable
- Possibly remove Arima and add Extra trees
</t>
  </si>
  <si>
    <t>Test (M): 3</t>
  </si>
  <si>
    <t>Remove Arima</t>
  </si>
  <si>
    <t>remove exponential smoothing</t>
  </si>
  <si>
    <t>Exponential smoothing check</t>
  </si>
  <si>
    <t>Removed ARIMA and exp_smoothing from ensempble forecast</t>
  </si>
  <si>
    <t>2024-3</t>
  </si>
  <si>
    <t>2023-3</t>
  </si>
  <si>
    <t>2022-3</t>
  </si>
  <si>
    <t>2021-3</t>
  </si>
  <si>
    <t>*Removed ARIMA and  exponential smoothing since it is either repeating the result or fallback to Arima result</t>
  </si>
  <si>
    <t xml:space="preserve">Summary:
- SARIMA performed well in 2024 for both 3 months and 12 months test horizon
- Ensemble results got slightly better without ARIMA + Exp Smoothing
- Extra Trees performs well to predict 3 months but not so great for 12 months
- 
</t>
  </si>
  <si>
    <t>Average</t>
  </si>
  <si>
    <t>All models</t>
  </si>
  <si>
    <t>Ensemble removed ARIMA and Exp Smoothing</t>
  </si>
  <si>
    <t>*Remove ARIMA from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</si>
</sst>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rgb="FF3B3A39"/>
      <name val="Courier New"/>
      <family val="1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2" borderId="0" xfId="0" applyFill="1"/>
    <xf numFmtId="0" fontId="2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0" fontId="1" fillId="4" borderId="0" xfId="0" applyFont="1" applyFill="1" applyAlignment="1">
      <alignment wrapText="1"/>
    </xf>
    <xf numFmtId="0" fontId="5" fillId="0" borderId="0" xfId="0" applyFont="1" applyAlignment="1">
      <alignment horizontal="center" vertical="center"/>
    </xf>
    <xf numFmtId="0" fontId="1" fillId="5" borderId="0" xfId="0" applyFont="1" applyFill="1" applyAlignment="1">
      <alignment wrapText="1"/>
    </xf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6" borderId="0" xfId="0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15</xdr:row>
      <xdr:rowOff>381000</xdr:rowOff>
    </xdr:from>
    <xdr:to>
      <xdr:col>5</xdr:col>
      <xdr:colOff>8216900</xdr:colOff>
      <xdr:row>15</xdr:row>
      <xdr:rowOff>4494393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8ACF4-8D52-7D27-CDC0-72320C68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90300" y="1803400"/>
          <a:ext cx="7772400" cy="4113393"/>
        </a:xfrm>
        <a:prstGeom prst="rect">
          <a:avLst/>
        </a:prstGeom>
      </xdr:spPr>
    </xdr:pic>
    <xdr:clientData/>
  </xdr:twoCellAnchor>
  <xdr:twoCellAnchor editAs="oneCell">
    <xdr:from>
      <xdr:col>5</xdr:col>
      <xdr:colOff>431800</xdr:colOff>
      <xdr:row>16</xdr:row>
      <xdr:rowOff>1346200</xdr:rowOff>
    </xdr:from>
    <xdr:to>
      <xdr:col>5</xdr:col>
      <xdr:colOff>8204200</xdr:colOff>
      <xdr:row>16</xdr:row>
      <xdr:rowOff>4890934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121BF-8349-82BC-D0DB-97DE378C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7600" y="7975600"/>
          <a:ext cx="7772400" cy="3544734"/>
        </a:xfrm>
        <a:prstGeom prst="rect">
          <a:avLst/>
        </a:prstGeom>
      </xdr:spPr>
    </xdr:pic>
    <xdr:clientData/>
  </xdr:twoCellAnchor>
  <xdr:twoCellAnchor editAs="oneCell">
    <xdr:from>
      <xdr:col>5</xdr:col>
      <xdr:colOff>469900</xdr:colOff>
      <xdr:row>17</xdr:row>
      <xdr:rowOff>876300</xdr:rowOff>
    </xdr:from>
    <xdr:to>
      <xdr:col>5</xdr:col>
      <xdr:colOff>7950200</xdr:colOff>
      <xdr:row>17</xdr:row>
      <xdr:rowOff>4470400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EF9819-55D9-BFBF-AE6D-67D3BF99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15700" y="12712700"/>
          <a:ext cx="7480300" cy="3594100"/>
        </a:xfrm>
        <a:prstGeom prst="rect">
          <a:avLst/>
        </a:prstGeom>
      </xdr:spPr>
    </xdr:pic>
    <xdr:clientData/>
  </xdr:twoCellAnchor>
  <xdr:twoCellAnchor editAs="oneCell">
    <xdr:from>
      <xdr:col>5</xdr:col>
      <xdr:colOff>368300</xdr:colOff>
      <xdr:row>18</xdr:row>
      <xdr:rowOff>749300</xdr:rowOff>
    </xdr:from>
    <xdr:to>
      <xdr:col>5</xdr:col>
      <xdr:colOff>8140700</xdr:colOff>
      <xdr:row>18</xdr:row>
      <xdr:rowOff>4370531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177B1B-1453-9D99-8BCC-A37492298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14100" y="17792700"/>
          <a:ext cx="7772400" cy="3621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7e373771-c704-4855-bb94-026ffb6be497/synapsenotebooks/930ee5d2-f70e-4990-8c2a-d58dd2507c06?experience=power-bi&amp;clientSideAuth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komplex.sharepoint.com/:x:/r/sites/dHUNTR/_layouts/15/Doc.aspx?sourcedoc=%7B494ca7d3-ce45-409d-a73b-232de698c820%7D&amp;action=edit&amp;wdPreviousSession=0888a355-146c-a65f-3e3a-f9bc0f70f3d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komplex.sharepoint.com/:x:/r/sites/dHUNTR/_layouts/15/Doc.aspx?sourcedoc=%7B494ca7d3-ce45-409d-a73b-232de698c820%7D&amp;action=edit&amp;wdPreviousSession=0888a355-146c-a65f-3e3a-f9bc0f70f3d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groups/7e373771-c704-4855-bb94-026ffb6be497/synapsenotebooks/7d938afb-b610-40f6-acdb-feca079c09f8?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BF08-7B78-174E-AE64-BA71EB26D916}">
  <dimension ref="A3:BI8"/>
  <sheetViews>
    <sheetView topLeftCell="D1" workbookViewId="0">
      <selection activeCell="A5" sqref="A5"/>
    </sheetView>
  </sheetViews>
  <sheetFormatPr baseColWidth="10" defaultRowHeight="16" x14ac:dyDescent="0.2"/>
  <cols>
    <col min="1" max="1" width="47.33203125" customWidth="1"/>
    <col min="2" max="2" width="114.1640625" customWidth="1"/>
    <col min="3" max="61" width="108.6640625" customWidth="1"/>
  </cols>
  <sheetData>
    <row r="3" spans="1:61" x14ac:dyDescent="0.2">
      <c r="A3" t="s">
        <v>1</v>
      </c>
      <c r="B3" t="s">
        <v>2</v>
      </c>
    </row>
    <row r="4" spans="1:61" x14ac:dyDescent="0.2">
      <c r="A4" t="s">
        <v>3</v>
      </c>
      <c r="B4" t="s">
        <v>4</v>
      </c>
    </row>
    <row r="5" spans="1:61" x14ac:dyDescent="0.2">
      <c r="A5" t="s">
        <v>21</v>
      </c>
      <c r="B5" s="4" t="s">
        <v>20</v>
      </c>
    </row>
    <row r="7" spans="1:61" x14ac:dyDescent="0.2">
      <c r="A7" t="s">
        <v>0</v>
      </c>
      <c r="B7" t="s">
        <v>6</v>
      </c>
      <c r="C7" t="s">
        <v>11</v>
      </c>
      <c r="D7" t="s">
        <v>12</v>
      </c>
      <c r="E7" s="3" t="s">
        <v>10</v>
      </c>
      <c r="F7" t="s">
        <v>14</v>
      </c>
      <c r="G7" t="s">
        <v>16</v>
      </c>
      <c r="H7" t="s">
        <v>18</v>
      </c>
    </row>
    <row r="8" spans="1:61" ht="409" customHeight="1" x14ac:dyDescent="0.25">
      <c r="A8" s="2" t="s">
        <v>5</v>
      </c>
      <c r="B8" s="1" t="s">
        <v>7</v>
      </c>
      <c r="C8" s="1" t="s">
        <v>8</v>
      </c>
      <c r="D8" s="1" t="s">
        <v>9</v>
      </c>
      <c r="E8" s="1" t="s">
        <v>13</v>
      </c>
      <c r="F8" s="1" t="s">
        <v>15</v>
      </c>
      <c r="G8" s="1" t="s">
        <v>17</v>
      </c>
      <c r="H8" s="1" t="s">
        <v>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</sheetData>
  <hyperlinks>
    <hyperlink ref="B5" r:id="rId1" xr:uid="{F6235F6C-357D-7240-AFDE-5DF5E4B7AF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34C6-10A5-324D-A4BE-757DB147A5A6}">
  <dimension ref="A1:I9"/>
  <sheetViews>
    <sheetView topLeftCell="B1" workbookViewId="0">
      <selection activeCell="A6" sqref="A6:B6"/>
    </sheetView>
  </sheetViews>
  <sheetFormatPr baseColWidth="10" defaultRowHeight="16" x14ac:dyDescent="0.2"/>
  <cols>
    <col min="1" max="1" width="44" customWidth="1"/>
    <col min="2" max="9" width="100.1640625" customWidth="1"/>
  </cols>
  <sheetData>
    <row r="1" spans="1:9" x14ac:dyDescent="0.2">
      <c r="A1" t="s">
        <v>1</v>
      </c>
      <c r="B1" t="s">
        <v>22</v>
      </c>
    </row>
    <row r="2" spans="1:9" x14ac:dyDescent="0.2">
      <c r="A2" t="s">
        <v>3</v>
      </c>
      <c r="B2" t="s">
        <v>25</v>
      </c>
    </row>
    <row r="3" spans="1:9" x14ac:dyDescent="0.2">
      <c r="A3" t="s">
        <v>24</v>
      </c>
      <c r="B3" t="s">
        <v>23</v>
      </c>
    </row>
    <row r="4" spans="1:9" x14ac:dyDescent="0.2">
      <c r="A4" t="s">
        <v>31</v>
      </c>
      <c r="B4" s="4" t="s">
        <v>32</v>
      </c>
    </row>
    <row r="6" spans="1:9" x14ac:dyDescent="0.2">
      <c r="A6" t="s">
        <v>0</v>
      </c>
      <c r="B6" t="s">
        <v>6</v>
      </c>
      <c r="C6" t="s">
        <v>28</v>
      </c>
      <c r="D6" t="s">
        <v>30</v>
      </c>
      <c r="E6" s="3" t="s">
        <v>33</v>
      </c>
      <c r="F6" s="3" t="s">
        <v>36</v>
      </c>
      <c r="G6" s="3" t="s">
        <v>37</v>
      </c>
      <c r="H6" t="s">
        <v>40</v>
      </c>
      <c r="I6" t="s">
        <v>41</v>
      </c>
    </row>
    <row r="7" spans="1:9" ht="409.6" x14ac:dyDescent="0.25">
      <c r="A7" t="s">
        <v>5</v>
      </c>
      <c r="B7" s="1" t="s">
        <v>26</v>
      </c>
      <c r="C7" s="1" t="s">
        <v>27</v>
      </c>
      <c r="D7" s="1" t="s">
        <v>34</v>
      </c>
      <c r="E7" s="1" t="s">
        <v>35</v>
      </c>
      <c r="F7" s="1" t="s">
        <v>38</v>
      </c>
      <c r="G7" s="1" t="s">
        <v>39</v>
      </c>
      <c r="H7" s="1" t="s">
        <v>42</v>
      </c>
      <c r="I7" s="1" t="s">
        <v>43</v>
      </c>
    </row>
    <row r="8" spans="1:9" ht="19" x14ac:dyDescent="0.25">
      <c r="B8" s="1"/>
      <c r="C8" s="1"/>
      <c r="D8" s="1"/>
      <c r="E8" s="1"/>
      <c r="F8" s="1"/>
      <c r="G8" s="1"/>
      <c r="H8" s="1"/>
      <c r="I8" s="1"/>
    </row>
    <row r="9" spans="1:9" ht="68" x14ac:dyDescent="0.2">
      <c r="C9" s="5" t="s">
        <v>29</v>
      </c>
      <c r="D9" s="5"/>
      <c r="E9" s="5"/>
      <c r="F9" s="5"/>
      <c r="G9" s="5"/>
      <c r="H9" s="5"/>
      <c r="I9" s="5"/>
    </row>
  </sheetData>
  <hyperlinks>
    <hyperlink ref="B4" r:id="rId1" xr:uid="{FFBD8F0B-2000-2948-AB46-6EF5943768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A631-ACE9-7A42-9E25-C4FA9539A81B}">
  <dimension ref="A1:AM26"/>
  <sheetViews>
    <sheetView topLeftCell="A18" workbookViewId="0">
      <selection activeCell="B19" sqref="B19"/>
    </sheetView>
  </sheetViews>
  <sheetFormatPr baseColWidth="10" defaultRowHeight="16" x14ac:dyDescent="0.2"/>
  <cols>
    <col min="1" max="1" width="40.33203125" customWidth="1"/>
    <col min="2" max="39" width="108.83203125" customWidth="1"/>
  </cols>
  <sheetData>
    <row r="1" spans="1:39" x14ac:dyDescent="0.2">
      <c r="A1" t="s">
        <v>1</v>
      </c>
      <c r="B1" t="s">
        <v>22</v>
      </c>
    </row>
    <row r="2" spans="1:39" x14ac:dyDescent="0.2">
      <c r="A2" t="s">
        <v>3</v>
      </c>
      <c r="B2" t="s">
        <v>25</v>
      </c>
    </row>
    <row r="3" spans="1:39" x14ac:dyDescent="0.2">
      <c r="A3" t="s">
        <v>44</v>
      </c>
      <c r="B3" t="s">
        <v>45</v>
      </c>
    </row>
    <row r="4" spans="1:39" x14ac:dyDescent="0.2">
      <c r="A4" t="s">
        <v>31</v>
      </c>
      <c r="B4" s="4" t="s">
        <v>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">
      <c r="A6" s="7" t="s">
        <v>72</v>
      </c>
      <c r="B6" s="8"/>
    </row>
    <row r="7" spans="1:39" x14ac:dyDescent="0.2">
      <c r="A7" s="6" t="s">
        <v>47</v>
      </c>
      <c r="B7" t="s">
        <v>46</v>
      </c>
    </row>
    <row r="8" spans="1:39" ht="409.6" x14ac:dyDescent="0.25">
      <c r="A8" s="6" t="s">
        <v>6</v>
      </c>
      <c r="B8" s="1" t="s">
        <v>73</v>
      </c>
    </row>
    <row r="9" spans="1:39" ht="409.6" x14ac:dyDescent="0.25">
      <c r="A9" s="6" t="s">
        <v>10</v>
      </c>
      <c r="B9" s="1" t="s">
        <v>74</v>
      </c>
    </row>
    <row r="10" spans="1:39" ht="409.6" x14ac:dyDescent="0.25">
      <c r="A10" s="10" t="s">
        <v>33</v>
      </c>
      <c r="B10" s="1" t="s">
        <v>75</v>
      </c>
    </row>
    <row r="11" spans="1:39" ht="409.6" x14ac:dyDescent="0.25">
      <c r="A11" s="10" t="s">
        <v>57</v>
      </c>
      <c r="B11" s="1" t="s">
        <v>76</v>
      </c>
    </row>
    <row r="12" spans="1:39" x14ac:dyDescent="0.2">
      <c r="A12" s="6"/>
    </row>
    <row r="14" spans="1:39" x14ac:dyDescent="0.2">
      <c r="A14" s="7" t="s">
        <v>71</v>
      </c>
      <c r="B14" s="8"/>
      <c r="C14" s="8"/>
      <c r="D14" s="8"/>
      <c r="E14" s="8"/>
    </row>
    <row r="15" spans="1:39" x14ac:dyDescent="0.2">
      <c r="A15" s="6" t="s">
        <v>47</v>
      </c>
      <c r="B15" t="s">
        <v>46</v>
      </c>
      <c r="C15" t="s">
        <v>48</v>
      </c>
      <c r="D15" t="s">
        <v>49</v>
      </c>
      <c r="E15" t="s">
        <v>50</v>
      </c>
    </row>
    <row r="16" spans="1:39" ht="409.6" x14ac:dyDescent="0.25">
      <c r="A16" s="6" t="s">
        <v>6</v>
      </c>
      <c r="B16" s="1" t="s">
        <v>63</v>
      </c>
      <c r="C16" s="1" t="s">
        <v>26</v>
      </c>
      <c r="D16" s="1" t="s">
        <v>52</v>
      </c>
      <c r="E16" s="9" t="s">
        <v>51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5" ht="409.6" x14ac:dyDescent="0.25">
      <c r="A17" s="6" t="s">
        <v>10</v>
      </c>
      <c r="B17" s="1" t="s">
        <v>59</v>
      </c>
      <c r="C17" s="1" t="s">
        <v>39</v>
      </c>
      <c r="D17" s="9" t="s">
        <v>58</v>
      </c>
      <c r="E17" s="1" t="s">
        <v>56</v>
      </c>
    </row>
    <row r="18" spans="1:5" ht="409.6" x14ac:dyDescent="0.25">
      <c r="A18" s="6" t="s">
        <v>33</v>
      </c>
      <c r="B18" s="9" t="s">
        <v>53</v>
      </c>
      <c r="C18" s="1" t="s">
        <v>35</v>
      </c>
      <c r="D18" s="1" t="s">
        <v>54</v>
      </c>
      <c r="E18" s="1" t="s">
        <v>55</v>
      </c>
    </row>
    <row r="19" spans="1:5" ht="409.6" x14ac:dyDescent="0.25">
      <c r="A19" s="6" t="s">
        <v>57</v>
      </c>
      <c r="B19" s="1" t="s">
        <v>62</v>
      </c>
      <c r="C19" s="9" t="s">
        <v>38</v>
      </c>
      <c r="D19" s="1" t="s">
        <v>61</v>
      </c>
      <c r="E19" s="1" t="s">
        <v>60</v>
      </c>
    </row>
    <row r="23" spans="1:5" x14ac:dyDescent="0.2">
      <c r="A23" t="s">
        <v>65</v>
      </c>
      <c r="B23" t="s">
        <v>64</v>
      </c>
    </row>
    <row r="24" spans="1:5" x14ac:dyDescent="0.2">
      <c r="A24" s="7" t="s">
        <v>66</v>
      </c>
      <c r="B24" s="8"/>
      <c r="C24" s="8"/>
      <c r="D24" s="8"/>
      <c r="E24" s="8"/>
    </row>
    <row r="25" spans="1:5" x14ac:dyDescent="0.2">
      <c r="A25" s="6" t="s">
        <v>47</v>
      </c>
      <c r="B25" t="s">
        <v>46</v>
      </c>
      <c r="C25" t="s">
        <v>48</v>
      </c>
      <c r="D25" t="s">
        <v>49</v>
      </c>
      <c r="E25" t="s">
        <v>50</v>
      </c>
    </row>
    <row r="26" spans="1:5" ht="409.6" x14ac:dyDescent="0.25">
      <c r="B26" s="1" t="s">
        <v>68</v>
      </c>
      <c r="C26" s="1" t="s">
        <v>67</v>
      </c>
      <c r="D26" s="1" t="s">
        <v>69</v>
      </c>
      <c r="E26" s="1" t="s">
        <v>70</v>
      </c>
    </row>
  </sheetData>
  <hyperlinks>
    <hyperlink ref="B4" r:id="rId1" xr:uid="{D3690273-A546-B24D-8198-B5C2714880F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F32F1-5D15-D44A-9CEF-CEB8C6B97AC0}">
  <dimension ref="A1:V19"/>
  <sheetViews>
    <sheetView zoomScaleNormal="100" workbookViewId="0">
      <selection activeCell="J10" sqref="J10"/>
    </sheetView>
  </sheetViews>
  <sheetFormatPr baseColWidth="10" defaultRowHeight="16" x14ac:dyDescent="0.2"/>
  <cols>
    <col min="1" max="1" width="27.83203125" customWidth="1"/>
    <col min="2" max="10" width="98.33203125" customWidth="1"/>
    <col min="12" max="12" width="13" customWidth="1"/>
    <col min="13" max="22" width="15.5" customWidth="1"/>
  </cols>
  <sheetData>
    <row r="1" spans="1:22" x14ac:dyDescent="0.2">
      <c r="A1" t="s">
        <v>1</v>
      </c>
      <c r="B1" t="s">
        <v>77</v>
      </c>
    </row>
    <row r="2" spans="1:22" x14ac:dyDescent="0.2">
      <c r="A2" t="s">
        <v>3</v>
      </c>
      <c r="B2" t="s">
        <v>78</v>
      </c>
    </row>
    <row r="3" spans="1:22" x14ac:dyDescent="0.2">
      <c r="A3" t="s">
        <v>79</v>
      </c>
      <c r="B3" t="s">
        <v>80</v>
      </c>
    </row>
    <row r="6" spans="1:22" x14ac:dyDescent="0.2">
      <c r="A6" t="s">
        <v>0</v>
      </c>
      <c r="B6" t="s">
        <v>6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  <c r="H6" t="s">
        <v>86</v>
      </c>
      <c r="I6" t="s">
        <v>92</v>
      </c>
      <c r="J6" t="s">
        <v>87</v>
      </c>
    </row>
    <row r="7" spans="1:22" ht="409" customHeight="1" x14ac:dyDescent="0.25">
      <c r="A7" t="s">
        <v>89</v>
      </c>
      <c r="B7" s="1" t="s">
        <v>103</v>
      </c>
      <c r="C7" s="11" t="s">
        <v>94</v>
      </c>
      <c r="D7" s="1" t="s">
        <v>95</v>
      </c>
      <c r="E7" s="1" t="s">
        <v>98</v>
      </c>
      <c r="F7" s="1" t="s">
        <v>99</v>
      </c>
      <c r="G7" s="11" t="s">
        <v>102</v>
      </c>
      <c r="H7" s="1" t="s">
        <v>103</v>
      </c>
      <c r="I7" s="1" t="s">
        <v>106</v>
      </c>
      <c r="J7" s="1" t="s">
        <v>88</v>
      </c>
    </row>
    <row r="8" spans="1:22" ht="409.6" x14ac:dyDescent="0.25">
      <c r="A8" t="s">
        <v>90</v>
      </c>
      <c r="B8" s="1" t="s">
        <v>104</v>
      </c>
      <c r="C8" s="1" t="s">
        <v>93</v>
      </c>
      <c r="D8" s="1" t="s">
        <v>96</v>
      </c>
      <c r="E8" s="1" t="s">
        <v>97</v>
      </c>
      <c r="F8" s="1" t="s">
        <v>100</v>
      </c>
      <c r="G8" s="1" t="s">
        <v>101</v>
      </c>
      <c r="H8" s="1" t="s">
        <v>104</v>
      </c>
      <c r="I8" s="1" t="s">
        <v>105</v>
      </c>
      <c r="J8" s="11" t="s">
        <v>91</v>
      </c>
    </row>
    <row r="9" spans="1:22" ht="409.6" x14ac:dyDescent="0.25">
      <c r="A9" t="s">
        <v>108</v>
      </c>
      <c r="B9" s="1" t="s">
        <v>118</v>
      </c>
      <c r="C9" s="1" t="s">
        <v>122</v>
      </c>
      <c r="D9" s="1" t="s">
        <v>123</v>
      </c>
      <c r="E9" s="1" t="s">
        <v>133</v>
      </c>
      <c r="F9" s="1" t="s">
        <v>136</v>
      </c>
      <c r="G9" s="1" t="s">
        <v>139</v>
      </c>
      <c r="H9" s="1" t="s">
        <v>118</v>
      </c>
      <c r="I9" s="1" t="s">
        <v>141</v>
      </c>
      <c r="J9" s="1" t="s">
        <v>142</v>
      </c>
      <c r="L9" t="s">
        <v>107</v>
      </c>
    </row>
    <row r="10" spans="1:22" ht="409.6" x14ac:dyDescent="0.25">
      <c r="A10" s="14" t="s">
        <v>109</v>
      </c>
      <c r="B10" s="1" t="s">
        <v>119</v>
      </c>
      <c r="C10" s="1" t="s">
        <v>120</v>
      </c>
      <c r="D10" s="1" t="s">
        <v>124</v>
      </c>
      <c r="E10" s="1" t="s">
        <v>132</v>
      </c>
      <c r="F10" s="1" t="s">
        <v>137</v>
      </c>
      <c r="G10" s="1" t="s">
        <v>138</v>
      </c>
      <c r="H10" s="1" t="s">
        <v>119</v>
      </c>
      <c r="I10" s="1" t="s">
        <v>140</v>
      </c>
      <c r="J10" s="1" t="s">
        <v>143</v>
      </c>
    </row>
    <row r="11" spans="1:22" x14ac:dyDescent="0.2"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">
      <c r="L12" s="13"/>
    </row>
    <row r="13" spans="1:22" x14ac:dyDescent="0.2">
      <c r="L13" s="13"/>
    </row>
    <row r="14" spans="1:22" x14ac:dyDescent="0.2">
      <c r="L14" s="13"/>
    </row>
    <row r="15" spans="1:22" x14ac:dyDescent="0.2">
      <c r="L15" s="13"/>
    </row>
    <row r="16" spans="1:22" x14ac:dyDescent="0.2">
      <c r="L16" s="13"/>
    </row>
    <row r="17" spans="12:12" x14ac:dyDescent="0.2">
      <c r="L17" s="13"/>
    </row>
    <row r="18" spans="12:12" x14ac:dyDescent="0.2">
      <c r="L18" s="13"/>
    </row>
    <row r="19" spans="12:12" x14ac:dyDescent="0.2">
      <c r="L19" s="13"/>
    </row>
  </sheetData>
  <hyperlinks>
    <hyperlink ref="B1" r:id="rId1" xr:uid="{7C41FB01-717A-154E-BF69-2636BFF462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80F22-A8BC-1F4B-A0F4-54283DB7B515}">
  <dimension ref="A1:O38"/>
  <sheetViews>
    <sheetView topLeftCell="A10" workbookViewId="0">
      <selection activeCell="M35" sqref="M35"/>
    </sheetView>
  </sheetViews>
  <sheetFormatPr baseColWidth="10" defaultRowHeight="16" x14ac:dyDescent="0.2"/>
  <cols>
    <col min="1" max="1" width="40" customWidth="1"/>
    <col min="7" max="7" width="10.83203125" style="6"/>
    <col min="8" max="8" width="16" customWidth="1"/>
    <col min="9" max="9" width="15.6640625" customWidth="1"/>
    <col min="10" max="10" width="18.6640625" customWidth="1"/>
  </cols>
  <sheetData>
    <row r="1" spans="1:15" x14ac:dyDescent="0.2">
      <c r="B1" s="25" t="s">
        <v>121</v>
      </c>
      <c r="C1" s="21"/>
      <c r="D1" s="21"/>
      <c r="E1" s="21"/>
      <c r="F1" s="21" t="s">
        <v>110</v>
      </c>
      <c r="G1" s="22"/>
      <c r="H1" s="23" t="s">
        <v>111</v>
      </c>
      <c r="I1" s="24"/>
      <c r="J1" s="24"/>
      <c r="K1" s="24"/>
    </row>
    <row r="2" spans="1:15" x14ac:dyDescent="0.2">
      <c r="B2" s="25" t="s">
        <v>112</v>
      </c>
      <c r="C2" s="21"/>
      <c r="D2" s="21" t="s">
        <v>113</v>
      </c>
      <c r="E2" s="21"/>
      <c r="F2" s="15" t="s">
        <v>149</v>
      </c>
      <c r="G2" s="18" t="s">
        <v>150</v>
      </c>
      <c r="H2" s="16" t="s">
        <v>114</v>
      </c>
      <c r="I2" s="15" t="s">
        <v>115</v>
      </c>
      <c r="J2" s="15" t="s">
        <v>116</v>
      </c>
      <c r="K2" s="19" t="s">
        <v>134</v>
      </c>
      <c r="L2" s="17" t="s">
        <v>135</v>
      </c>
      <c r="M2" s="17" t="s">
        <v>117</v>
      </c>
      <c r="O2" t="s">
        <v>158</v>
      </c>
    </row>
    <row r="3" spans="1:15" x14ac:dyDescent="0.2">
      <c r="A3" s="26" t="s">
        <v>144</v>
      </c>
      <c r="B3" s="6" t="s">
        <v>145</v>
      </c>
      <c r="C3" s="6" t="s">
        <v>146</v>
      </c>
      <c r="D3" s="6" t="s">
        <v>147</v>
      </c>
      <c r="E3" s="6" t="s">
        <v>148</v>
      </c>
      <c r="F3" s="6">
        <v>108</v>
      </c>
      <c r="G3" s="6">
        <v>12</v>
      </c>
      <c r="H3" s="6">
        <v>19.52</v>
      </c>
      <c r="I3" s="20">
        <v>8.06</v>
      </c>
      <c r="J3" s="6">
        <v>25.24</v>
      </c>
      <c r="K3" s="6">
        <v>21.29</v>
      </c>
      <c r="L3" s="6">
        <v>15.03</v>
      </c>
      <c r="M3" s="6">
        <v>15.14</v>
      </c>
      <c r="O3" t="s">
        <v>159</v>
      </c>
    </row>
    <row r="4" spans="1:15" x14ac:dyDescent="0.2">
      <c r="A4" s="27"/>
      <c r="B4" s="6" t="s">
        <v>145</v>
      </c>
      <c r="C4" s="6" t="s">
        <v>151</v>
      </c>
      <c r="D4" s="6" t="s">
        <v>152</v>
      </c>
      <c r="E4" s="6" t="s">
        <v>146</v>
      </c>
      <c r="F4" s="6">
        <v>96</v>
      </c>
      <c r="G4" s="6">
        <v>12</v>
      </c>
      <c r="H4" s="6">
        <v>18.329999999999998</v>
      </c>
      <c r="I4" s="6">
        <v>22.1</v>
      </c>
      <c r="J4" s="20">
        <v>11.97</v>
      </c>
      <c r="K4" s="6">
        <v>12.69</v>
      </c>
      <c r="L4" s="6">
        <v>14.04</v>
      </c>
      <c r="M4" s="6">
        <v>13.07</v>
      </c>
      <c r="O4" t="s">
        <v>160</v>
      </c>
    </row>
    <row r="5" spans="1:15" x14ac:dyDescent="0.2">
      <c r="A5" s="27"/>
      <c r="B5" s="6" t="s">
        <v>145</v>
      </c>
      <c r="C5" s="6" t="s">
        <v>153</v>
      </c>
      <c r="D5" s="6" t="s">
        <v>154</v>
      </c>
      <c r="E5" s="6" t="s">
        <v>151</v>
      </c>
      <c r="F5" s="6">
        <v>84</v>
      </c>
      <c r="G5" s="6">
        <v>12</v>
      </c>
      <c r="H5" s="20">
        <v>13.56</v>
      </c>
      <c r="I5" s="6">
        <v>21.18</v>
      </c>
      <c r="J5" s="6">
        <v>18.89</v>
      </c>
      <c r="K5" s="6">
        <v>13.59</v>
      </c>
      <c r="L5" s="6">
        <v>14.37</v>
      </c>
      <c r="M5" s="6">
        <v>13.93</v>
      </c>
    </row>
    <row r="6" spans="1:15" x14ac:dyDescent="0.2">
      <c r="A6" s="27"/>
      <c r="B6" s="6" t="s">
        <v>145</v>
      </c>
      <c r="C6" s="6" t="s">
        <v>155</v>
      </c>
      <c r="D6" s="6" t="s">
        <v>156</v>
      </c>
      <c r="E6" s="6" t="s">
        <v>153</v>
      </c>
      <c r="F6" s="6">
        <v>72</v>
      </c>
      <c r="G6" s="6">
        <v>12</v>
      </c>
      <c r="H6" s="6">
        <v>13.59</v>
      </c>
      <c r="I6" s="6">
        <v>17.79</v>
      </c>
      <c r="J6" s="6">
        <v>8.3699999999999992</v>
      </c>
      <c r="K6" s="6">
        <v>10.32</v>
      </c>
      <c r="L6" s="20">
        <v>7.08</v>
      </c>
      <c r="M6" s="6">
        <v>7.84</v>
      </c>
      <c r="O6" t="s">
        <v>161</v>
      </c>
    </row>
    <row r="7" spans="1:15" ht="16" customHeight="1" x14ac:dyDescent="0.2">
      <c r="A7" s="26" t="s">
        <v>125</v>
      </c>
      <c r="B7" s="6" t="s">
        <v>145</v>
      </c>
      <c r="C7" s="6" t="s">
        <v>146</v>
      </c>
      <c r="D7" s="6" t="s">
        <v>147</v>
      </c>
      <c r="E7" s="6" t="s">
        <v>148</v>
      </c>
      <c r="F7" s="6">
        <v>108</v>
      </c>
      <c r="G7" s="6">
        <v>12</v>
      </c>
      <c r="H7" s="6">
        <v>19.52</v>
      </c>
      <c r="I7" s="20">
        <v>7.92</v>
      </c>
      <c r="J7" s="6">
        <v>25.24</v>
      </c>
      <c r="K7" s="6">
        <v>17.59</v>
      </c>
      <c r="L7" s="6">
        <v>14.25</v>
      </c>
      <c r="M7" s="6">
        <v>14.55</v>
      </c>
    </row>
    <row r="8" spans="1:15" x14ac:dyDescent="0.2">
      <c r="A8" s="27"/>
      <c r="B8" s="6" t="s">
        <v>145</v>
      </c>
      <c r="C8" s="6" t="s">
        <v>151</v>
      </c>
      <c r="D8" s="6" t="s">
        <v>152</v>
      </c>
      <c r="E8" s="6" t="s">
        <v>146</v>
      </c>
      <c r="F8" s="6">
        <v>96</v>
      </c>
      <c r="G8" s="6">
        <v>12</v>
      </c>
      <c r="H8" s="6">
        <v>18.329999999999998</v>
      </c>
      <c r="I8" s="6">
        <v>19.04</v>
      </c>
      <c r="J8" s="20">
        <v>11.97</v>
      </c>
      <c r="K8" s="10">
        <v>18.329999999999998</v>
      </c>
      <c r="L8" s="6">
        <v>15.26</v>
      </c>
      <c r="M8" s="6">
        <v>13.96</v>
      </c>
    </row>
    <row r="9" spans="1:15" x14ac:dyDescent="0.2">
      <c r="A9" s="27"/>
      <c r="B9" s="6" t="s">
        <v>145</v>
      </c>
      <c r="C9" s="6" t="s">
        <v>153</v>
      </c>
      <c r="D9" s="6" t="s">
        <v>154</v>
      </c>
      <c r="E9" s="6" t="s">
        <v>151</v>
      </c>
      <c r="F9" s="6">
        <v>84</v>
      </c>
      <c r="G9" s="6">
        <v>12</v>
      </c>
      <c r="H9" s="6">
        <v>13.56</v>
      </c>
      <c r="I9" s="6">
        <v>21.2</v>
      </c>
      <c r="J9" s="6">
        <v>18.89</v>
      </c>
      <c r="K9" s="6">
        <v>13.63</v>
      </c>
      <c r="L9" s="6">
        <v>13.45</v>
      </c>
      <c r="M9" s="20">
        <v>13.17</v>
      </c>
    </row>
    <row r="10" spans="1:15" x14ac:dyDescent="0.2">
      <c r="A10" s="27"/>
      <c r="B10" s="6" t="s">
        <v>145</v>
      </c>
      <c r="C10" s="6" t="s">
        <v>155</v>
      </c>
      <c r="D10" s="6" t="s">
        <v>156</v>
      </c>
      <c r="E10" s="6" t="s">
        <v>153</v>
      </c>
      <c r="F10" s="6">
        <v>72</v>
      </c>
      <c r="G10" s="6">
        <v>12</v>
      </c>
      <c r="H10" s="6">
        <v>13.59</v>
      </c>
      <c r="I10" s="6">
        <v>16.46</v>
      </c>
      <c r="J10" s="6">
        <v>8.3699999999999992</v>
      </c>
      <c r="K10" s="6">
        <v>10.39</v>
      </c>
      <c r="L10" s="20">
        <v>7.08</v>
      </c>
      <c r="M10" s="6">
        <v>7.53</v>
      </c>
    </row>
    <row r="11" spans="1:15" x14ac:dyDescent="0.2">
      <c r="A11" s="26" t="s">
        <v>126</v>
      </c>
      <c r="B11" s="6" t="s">
        <v>145</v>
      </c>
      <c r="C11" s="6" t="s">
        <v>146</v>
      </c>
      <c r="D11" s="6" t="s">
        <v>147</v>
      </c>
      <c r="E11" s="6" t="s">
        <v>148</v>
      </c>
      <c r="F11" s="6">
        <v>108</v>
      </c>
      <c r="G11" s="6">
        <v>12</v>
      </c>
      <c r="H11" s="6">
        <v>19.52</v>
      </c>
      <c r="I11" s="6">
        <v>16.96</v>
      </c>
      <c r="J11" s="6">
        <v>25.24</v>
      </c>
      <c r="K11" s="6">
        <v>21.87</v>
      </c>
      <c r="L11" s="20">
        <v>14.77</v>
      </c>
      <c r="M11" s="6">
        <v>15.36</v>
      </c>
    </row>
    <row r="12" spans="1:15" x14ac:dyDescent="0.2">
      <c r="A12" s="27"/>
      <c r="B12" s="6" t="s">
        <v>145</v>
      </c>
      <c r="C12" s="6" t="s">
        <v>151</v>
      </c>
      <c r="D12" s="6" t="s">
        <v>152</v>
      </c>
      <c r="E12" s="6" t="s">
        <v>146</v>
      </c>
      <c r="F12" s="6">
        <v>96</v>
      </c>
      <c r="G12" s="6">
        <v>12</v>
      </c>
      <c r="H12" s="6">
        <v>18.329999999999998</v>
      </c>
      <c r="I12" s="6">
        <v>35.200000000000003</v>
      </c>
      <c r="J12" s="20">
        <v>11.97</v>
      </c>
      <c r="K12" s="6">
        <v>12.55</v>
      </c>
      <c r="L12" s="6">
        <v>14.31</v>
      </c>
      <c r="M12" s="6">
        <v>12.96</v>
      </c>
    </row>
    <row r="13" spans="1:15" x14ac:dyDescent="0.2">
      <c r="A13" s="27"/>
      <c r="B13" s="6" t="s">
        <v>145</v>
      </c>
      <c r="C13" s="6" t="s">
        <v>153</v>
      </c>
      <c r="D13" s="6" t="s">
        <v>154</v>
      </c>
      <c r="E13" s="6" t="s">
        <v>151</v>
      </c>
      <c r="F13" s="6">
        <v>84</v>
      </c>
      <c r="G13" s="6">
        <v>12</v>
      </c>
      <c r="H13" s="6">
        <v>13.56</v>
      </c>
      <c r="I13" s="6">
        <v>24.76</v>
      </c>
      <c r="J13" s="6">
        <v>18.89</v>
      </c>
      <c r="K13" s="20">
        <v>13.29</v>
      </c>
      <c r="L13" s="6">
        <v>14.24</v>
      </c>
      <c r="M13" s="6">
        <v>13.74</v>
      </c>
    </row>
    <row r="14" spans="1:15" x14ac:dyDescent="0.2">
      <c r="A14" s="27"/>
      <c r="B14" s="6" t="s">
        <v>145</v>
      </c>
      <c r="C14" s="6" t="s">
        <v>155</v>
      </c>
      <c r="D14" s="6" t="s">
        <v>156</v>
      </c>
      <c r="E14" s="6" t="s">
        <v>153</v>
      </c>
      <c r="F14" s="6">
        <v>72</v>
      </c>
      <c r="G14" s="6">
        <v>12</v>
      </c>
      <c r="H14" s="6">
        <v>13.59</v>
      </c>
      <c r="I14" s="6">
        <v>25.87</v>
      </c>
      <c r="J14" s="6">
        <v>8.3699999999999992</v>
      </c>
      <c r="K14" s="6">
        <v>10.3</v>
      </c>
      <c r="L14" s="20">
        <v>6.61</v>
      </c>
      <c r="M14" s="6">
        <v>7.22</v>
      </c>
    </row>
    <row r="15" spans="1:15" x14ac:dyDescent="0.2">
      <c r="A15" s="26" t="s">
        <v>128</v>
      </c>
      <c r="B15" s="6" t="s">
        <v>145</v>
      </c>
      <c r="C15" s="6" t="s">
        <v>146</v>
      </c>
      <c r="D15" s="6" t="s">
        <v>147</v>
      </c>
      <c r="E15" s="6" t="s">
        <v>148</v>
      </c>
      <c r="F15" s="6">
        <v>108</v>
      </c>
      <c r="G15" s="6">
        <v>12</v>
      </c>
      <c r="H15" s="6">
        <v>19.52</v>
      </c>
      <c r="I15" s="20">
        <v>8.11</v>
      </c>
      <c r="J15" s="6">
        <v>25.24</v>
      </c>
      <c r="K15" s="6">
        <v>19.11</v>
      </c>
      <c r="L15" s="6">
        <v>14.74</v>
      </c>
      <c r="M15" s="6">
        <v>14.85</v>
      </c>
    </row>
    <row r="16" spans="1:15" x14ac:dyDescent="0.2">
      <c r="A16" s="27"/>
      <c r="B16" s="6" t="s">
        <v>145</v>
      </c>
      <c r="C16" s="6" t="s">
        <v>151</v>
      </c>
      <c r="D16" s="6" t="s">
        <v>152</v>
      </c>
      <c r="E16" s="6" t="s">
        <v>146</v>
      </c>
      <c r="F16" s="6">
        <v>96</v>
      </c>
      <c r="G16" s="6">
        <v>12</v>
      </c>
      <c r="H16" s="6">
        <v>18.329999999999998</v>
      </c>
      <c r="I16" s="6">
        <v>25.1</v>
      </c>
      <c r="J16" s="20">
        <v>11.97</v>
      </c>
      <c r="K16" s="6">
        <v>12.58</v>
      </c>
      <c r="L16" s="6">
        <v>14.41</v>
      </c>
      <c r="M16" s="6">
        <v>13.17</v>
      </c>
    </row>
    <row r="17" spans="1:13" x14ac:dyDescent="0.2">
      <c r="A17" s="27"/>
      <c r="B17" s="6" t="s">
        <v>145</v>
      </c>
      <c r="C17" s="6" t="s">
        <v>153</v>
      </c>
      <c r="D17" s="6" t="s">
        <v>154</v>
      </c>
      <c r="E17" s="6" t="s">
        <v>151</v>
      </c>
      <c r="F17" s="6">
        <v>84</v>
      </c>
      <c r="G17" s="6">
        <v>12</v>
      </c>
      <c r="H17" s="6">
        <v>13.56</v>
      </c>
      <c r="I17" s="6">
        <v>20.52</v>
      </c>
      <c r="J17" s="6">
        <v>18.89</v>
      </c>
      <c r="K17" s="20">
        <v>13.11</v>
      </c>
      <c r="L17" s="6">
        <v>13.86</v>
      </c>
      <c r="M17" s="6">
        <v>13.35</v>
      </c>
    </row>
    <row r="18" spans="1:13" x14ac:dyDescent="0.2">
      <c r="A18" s="27"/>
      <c r="B18" s="6" t="s">
        <v>145</v>
      </c>
      <c r="C18" s="6" t="s">
        <v>155</v>
      </c>
      <c r="D18" s="6" t="s">
        <v>156</v>
      </c>
      <c r="E18" s="6" t="s">
        <v>153</v>
      </c>
      <c r="F18" s="6">
        <v>72</v>
      </c>
      <c r="G18" s="6">
        <v>12</v>
      </c>
      <c r="H18" s="6">
        <v>13.59</v>
      </c>
      <c r="I18" s="6">
        <v>16.690000000000001</v>
      </c>
      <c r="J18" s="6">
        <v>8.3699999999999992</v>
      </c>
      <c r="K18" s="6">
        <v>11.3</v>
      </c>
      <c r="L18" s="20">
        <v>7.41</v>
      </c>
      <c r="M18" s="6">
        <v>8.17</v>
      </c>
    </row>
    <row r="19" spans="1:13" x14ac:dyDescent="0.2">
      <c r="A19" s="26" t="s">
        <v>127</v>
      </c>
      <c r="B19" s="6" t="s">
        <v>145</v>
      </c>
      <c r="C19" s="6" t="s">
        <v>146</v>
      </c>
      <c r="D19" s="6" t="s">
        <v>147</v>
      </c>
      <c r="E19" s="6" t="s">
        <v>148</v>
      </c>
      <c r="F19" s="6">
        <v>108</v>
      </c>
      <c r="G19" s="6">
        <v>12</v>
      </c>
      <c r="H19" s="6">
        <v>19.52</v>
      </c>
      <c r="I19" s="20">
        <v>8.27</v>
      </c>
      <c r="J19" s="6">
        <v>25.24</v>
      </c>
      <c r="K19" s="6">
        <v>21.9</v>
      </c>
      <c r="L19" s="6">
        <v>15.06</v>
      </c>
      <c r="M19" s="6">
        <v>15.52</v>
      </c>
    </row>
    <row r="20" spans="1:13" x14ac:dyDescent="0.2">
      <c r="A20" s="27"/>
      <c r="B20" s="6" t="s">
        <v>145</v>
      </c>
      <c r="C20" s="6" t="s">
        <v>151</v>
      </c>
      <c r="D20" s="6" t="s">
        <v>152</v>
      </c>
      <c r="E20" s="6" t="s">
        <v>146</v>
      </c>
      <c r="F20" s="6">
        <v>96</v>
      </c>
      <c r="G20" s="6">
        <v>12</v>
      </c>
      <c r="H20" s="6">
        <v>18.329999999999998</v>
      </c>
      <c r="I20" s="6">
        <v>24.47</v>
      </c>
      <c r="J20" s="20">
        <v>11.97</v>
      </c>
      <c r="K20" s="6">
        <v>12.58</v>
      </c>
      <c r="L20" s="6">
        <v>14.4</v>
      </c>
      <c r="M20" s="6">
        <v>13.28</v>
      </c>
    </row>
    <row r="21" spans="1:13" x14ac:dyDescent="0.2">
      <c r="A21" s="27"/>
      <c r="B21" s="6" t="s">
        <v>145</v>
      </c>
      <c r="C21" s="6" t="s">
        <v>153</v>
      </c>
      <c r="D21" s="6" t="s">
        <v>154</v>
      </c>
      <c r="E21" s="6" t="s">
        <v>151</v>
      </c>
      <c r="F21" s="6">
        <v>84</v>
      </c>
      <c r="G21" s="6">
        <v>12</v>
      </c>
      <c r="H21" s="6">
        <v>13.56</v>
      </c>
      <c r="I21" s="6">
        <v>37.229999999999997</v>
      </c>
      <c r="J21" s="6">
        <v>18.89</v>
      </c>
      <c r="K21" s="20">
        <v>13.16</v>
      </c>
      <c r="L21" s="6">
        <v>13.68</v>
      </c>
      <c r="M21" s="6">
        <v>13.34</v>
      </c>
    </row>
    <row r="22" spans="1:13" x14ac:dyDescent="0.2">
      <c r="A22" s="27"/>
      <c r="B22" s="6" t="s">
        <v>145</v>
      </c>
      <c r="C22" s="6" t="s">
        <v>155</v>
      </c>
      <c r="D22" s="6" t="s">
        <v>156</v>
      </c>
      <c r="E22" s="6" t="s">
        <v>153</v>
      </c>
      <c r="F22" s="6">
        <v>72</v>
      </c>
      <c r="G22" s="6">
        <v>12</v>
      </c>
      <c r="H22" s="6">
        <v>13.59</v>
      </c>
      <c r="I22" s="6">
        <v>12.38</v>
      </c>
      <c r="J22" s="6">
        <v>8.3699999999999992</v>
      </c>
      <c r="K22" s="6">
        <v>9.51</v>
      </c>
      <c r="L22" s="20">
        <v>7.24</v>
      </c>
      <c r="M22" s="6">
        <v>7.66</v>
      </c>
    </row>
    <row r="23" spans="1:13" x14ac:dyDescent="0.2">
      <c r="A23" s="26" t="s">
        <v>129</v>
      </c>
      <c r="B23" s="6" t="s">
        <v>145</v>
      </c>
      <c r="C23" s="6" t="s">
        <v>146</v>
      </c>
      <c r="D23" s="6" t="s">
        <v>147</v>
      </c>
      <c r="E23" s="6" t="s">
        <v>148</v>
      </c>
      <c r="F23" s="6">
        <v>108</v>
      </c>
      <c r="G23" s="6">
        <v>12</v>
      </c>
      <c r="H23" s="6">
        <v>19.52</v>
      </c>
      <c r="I23" s="20">
        <v>7.78</v>
      </c>
      <c r="J23" s="6">
        <v>25.24</v>
      </c>
      <c r="K23" s="6">
        <v>17.41</v>
      </c>
      <c r="L23" s="6">
        <v>15.09</v>
      </c>
      <c r="M23" s="6">
        <v>14.87</v>
      </c>
    </row>
    <row r="24" spans="1:13" x14ac:dyDescent="0.2">
      <c r="A24" s="27"/>
      <c r="B24" s="6" t="s">
        <v>145</v>
      </c>
      <c r="C24" s="6" t="s">
        <v>151</v>
      </c>
      <c r="D24" s="6" t="s">
        <v>152</v>
      </c>
      <c r="E24" s="6" t="s">
        <v>146</v>
      </c>
      <c r="F24" s="6">
        <v>96</v>
      </c>
      <c r="G24" s="6">
        <v>12</v>
      </c>
      <c r="H24" s="6">
        <v>18.329999999999998</v>
      </c>
      <c r="I24" s="6">
        <v>26.07</v>
      </c>
      <c r="J24" s="20">
        <v>11.97</v>
      </c>
      <c r="K24" s="6">
        <v>12.54</v>
      </c>
      <c r="L24" s="6">
        <v>13.84</v>
      </c>
      <c r="M24" s="6">
        <v>12.82</v>
      </c>
    </row>
    <row r="25" spans="1:13" x14ac:dyDescent="0.2">
      <c r="A25" s="27"/>
      <c r="B25" s="6" t="s">
        <v>145</v>
      </c>
      <c r="C25" s="6" t="s">
        <v>153</v>
      </c>
      <c r="D25" s="6" t="s">
        <v>154</v>
      </c>
      <c r="E25" s="6" t="s">
        <v>151</v>
      </c>
      <c r="F25" s="6">
        <v>84</v>
      </c>
      <c r="G25" s="6">
        <v>12</v>
      </c>
      <c r="H25" s="6">
        <v>13.56</v>
      </c>
      <c r="I25" s="6">
        <v>24.3</v>
      </c>
      <c r="J25" s="6">
        <v>18.89</v>
      </c>
      <c r="K25" s="6">
        <v>13.52</v>
      </c>
      <c r="L25" s="6">
        <v>13.8</v>
      </c>
      <c r="M25" s="20">
        <v>13.45</v>
      </c>
    </row>
    <row r="26" spans="1:13" x14ac:dyDescent="0.2">
      <c r="A26" s="27"/>
      <c r="B26" s="6" t="s">
        <v>145</v>
      </c>
      <c r="C26" s="6" t="s">
        <v>155</v>
      </c>
      <c r="D26" s="6" t="s">
        <v>156</v>
      </c>
      <c r="E26" s="6" t="s">
        <v>153</v>
      </c>
      <c r="F26" s="6">
        <v>72</v>
      </c>
      <c r="G26" s="6">
        <v>12</v>
      </c>
      <c r="H26" s="6">
        <v>13.59</v>
      </c>
      <c r="I26" s="6">
        <v>22.03</v>
      </c>
      <c r="J26" s="6">
        <v>8.3699999999999992</v>
      </c>
      <c r="K26" s="6">
        <v>10.119999999999999</v>
      </c>
      <c r="L26" s="20">
        <v>7.43</v>
      </c>
      <c r="M26" s="6">
        <v>7.85</v>
      </c>
    </row>
    <row r="27" spans="1:13" x14ac:dyDescent="0.2">
      <c r="A27" s="26" t="s">
        <v>130</v>
      </c>
      <c r="B27" s="6" t="s">
        <v>145</v>
      </c>
      <c r="C27" s="6" t="s">
        <v>146</v>
      </c>
      <c r="D27" s="6" t="s">
        <v>147</v>
      </c>
      <c r="E27" s="6" t="s">
        <v>148</v>
      </c>
      <c r="F27" s="6">
        <v>108</v>
      </c>
      <c r="G27" s="6">
        <v>12</v>
      </c>
      <c r="H27" s="6">
        <v>19.52</v>
      </c>
      <c r="I27" s="20">
        <v>8.06</v>
      </c>
      <c r="J27" s="6">
        <v>25.24</v>
      </c>
      <c r="K27" s="6">
        <v>21.29</v>
      </c>
      <c r="L27" s="6">
        <v>15.03</v>
      </c>
      <c r="M27" s="6">
        <v>15.14</v>
      </c>
    </row>
    <row r="28" spans="1:13" x14ac:dyDescent="0.2">
      <c r="A28" s="27"/>
      <c r="B28" s="6" t="s">
        <v>145</v>
      </c>
      <c r="C28" s="6" t="s">
        <v>151</v>
      </c>
      <c r="D28" s="6" t="s">
        <v>152</v>
      </c>
      <c r="E28" s="6" t="s">
        <v>146</v>
      </c>
      <c r="F28" s="6">
        <v>96</v>
      </c>
      <c r="G28" s="6">
        <v>12</v>
      </c>
      <c r="H28" s="6">
        <v>18.329999999999998</v>
      </c>
      <c r="I28" s="6">
        <v>22.1</v>
      </c>
      <c r="J28" s="20">
        <v>11.97</v>
      </c>
      <c r="K28" s="6">
        <v>12.69</v>
      </c>
      <c r="L28" s="6">
        <v>14.04</v>
      </c>
      <c r="M28" s="6">
        <v>13.07</v>
      </c>
    </row>
    <row r="29" spans="1:13" x14ac:dyDescent="0.2">
      <c r="A29" s="27"/>
      <c r="B29" s="6" t="s">
        <v>145</v>
      </c>
      <c r="C29" s="6" t="s">
        <v>153</v>
      </c>
      <c r="D29" s="6" t="s">
        <v>154</v>
      </c>
      <c r="E29" s="6" t="s">
        <v>151</v>
      </c>
      <c r="F29" s="6">
        <v>84</v>
      </c>
      <c r="G29" s="6">
        <v>12</v>
      </c>
      <c r="H29" s="20">
        <v>13.56</v>
      </c>
      <c r="I29" s="6">
        <v>21.18</v>
      </c>
      <c r="J29" s="6">
        <v>18.89</v>
      </c>
      <c r="K29" s="6">
        <v>13.59</v>
      </c>
      <c r="L29" s="6">
        <v>14.37</v>
      </c>
      <c r="M29" s="6">
        <v>13.93</v>
      </c>
    </row>
    <row r="30" spans="1:13" x14ac:dyDescent="0.2">
      <c r="A30" s="27"/>
      <c r="B30" s="6" t="s">
        <v>145</v>
      </c>
      <c r="C30" s="6" t="s">
        <v>155</v>
      </c>
      <c r="D30" s="6" t="s">
        <v>156</v>
      </c>
      <c r="E30" s="6" t="s">
        <v>153</v>
      </c>
      <c r="F30" s="6">
        <v>72</v>
      </c>
      <c r="G30" s="6">
        <v>12</v>
      </c>
      <c r="H30" s="6">
        <v>13.59</v>
      </c>
      <c r="I30" s="6">
        <v>17.79</v>
      </c>
      <c r="J30" s="6">
        <v>8.3699999999999992</v>
      </c>
      <c r="K30" s="6">
        <v>10.32</v>
      </c>
      <c r="L30" s="20">
        <v>7.08</v>
      </c>
      <c r="M30" s="6">
        <v>7.84</v>
      </c>
    </row>
    <row r="31" spans="1:13" x14ac:dyDescent="0.2">
      <c r="A31" s="26" t="s">
        <v>131</v>
      </c>
      <c r="B31" s="6" t="s">
        <v>145</v>
      </c>
      <c r="C31" s="6" t="s">
        <v>146</v>
      </c>
      <c r="D31" s="6" t="s">
        <v>147</v>
      </c>
      <c r="E31" s="6" t="s">
        <v>148</v>
      </c>
      <c r="F31" s="6">
        <v>108</v>
      </c>
      <c r="G31" s="6">
        <v>12</v>
      </c>
      <c r="H31" s="6">
        <v>19.52</v>
      </c>
      <c r="I31" s="20">
        <v>8.39</v>
      </c>
      <c r="J31" s="6">
        <v>25.24</v>
      </c>
      <c r="K31" s="6">
        <v>21.47</v>
      </c>
      <c r="L31" s="6">
        <v>14.65</v>
      </c>
      <c r="M31" s="6">
        <v>15.18</v>
      </c>
    </row>
    <row r="32" spans="1:13" x14ac:dyDescent="0.2">
      <c r="A32" s="27"/>
      <c r="B32" s="6" t="s">
        <v>145</v>
      </c>
      <c r="C32" s="6" t="s">
        <v>151</v>
      </c>
      <c r="D32" s="6" t="s">
        <v>152</v>
      </c>
      <c r="E32" s="6" t="s">
        <v>146</v>
      </c>
      <c r="F32" s="6">
        <v>96</v>
      </c>
      <c r="G32" s="6">
        <v>12</v>
      </c>
      <c r="H32" s="6">
        <v>18.329999999999998</v>
      </c>
      <c r="I32" s="6">
        <v>25.04</v>
      </c>
      <c r="J32" s="20">
        <v>11.97</v>
      </c>
      <c r="K32" s="6">
        <v>12.08</v>
      </c>
      <c r="L32" s="6">
        <v>14.79</v>
      </c>
      <c r="M32" s="6">
        <v>13.44</v>
      </c>
    </row>
    <row r="33" spans="1:13" x14ac:dyDescent="0.2">
      <c r="A33" s="27"/>
      <c r="B33" s="6" t="s">
        <v>145</v>
      </c>
      <c r="C33" s="6" t="s">
        <v>153</v>
      </c>
      <c r="D33" s="6" t="s">
        <v>154</v>
      </c>
      <c r="E33" s="6" t="s">
        <v>151</v>
      </c>
      <c r="F33" s="6">
        <v>84</v>
      </c>
      <c r="G33" s="6">
        <v>12</v>
      </c>
      <c r="H33" s="20">
        <v>13.56</v>
      </c>
      <c r="I33" s="6">
        <v>23.68</v>
      </c>
      <c r="J33" s="6">
        <v>18.89</v>
      </c>
      <c r="K33" s="6">
        <v>15.1</v>
      </c>
      <c r="L33" s="6">
        <v>13.81</v>
      </c>
      <c r="M33" s="6">
        <v>13.9</v>
      </c>
    </row>
    <row r="34" spans="1:13" x14ac:dyDescent="0.2">
      <c r="A34" s="27"/>
      <c r="B34" s="6" t="s">
        <v>145</v>
      </c>
      <c r="C34" s="6" t="s">
        <v>155</v>
      </c>
      <c r="D34" s="6" t="s">
        <v>156</v>
      </c>
      <c r="E34" s="6" t="s">
        <v>153</v>
      </c>
      <c r="F34" s="6">
        <v>72</v>
      </c>
      <c r="G34" s="6">
        <v>12</v>
      </c>
      <c r="H34" s="6">
        <v>13.59</v>
      </c>
      <c r="I34" s="6">
        <v>14.64</v>
      </c>
      <c r="J34" s="6">
        <v>8.3699999999999992</v>
      </c>
      <c r="K34" s="6">
        <v>11.92</v>
      </c>
      <c r="L34" s="20">
        <v>8.2899999999999991</v>
      </c>
      <c r="M34" s="6">
        <v>8.9600000000000009</v>
      </c>
    </row>
    <row r="35" spans="1:13" x14ac:dyDescent="0.2">
      <c r="M35">
        <f>AVERAGE(M3:M34)</f>
        <v>12.445624999999998</v>
      </c>
    </row>
    <row r="36" spans="1:13" ht="148" customHeight="1" x14ac:dyDescent="0.2">
      <c r="A36" s="28" t="s">
        <v>157</v>
      </c>
      <c r="B36" s="29"/>
      <c r="C36" s="29"/>
      <c r="D36" s="29"/>
    </row>
    <row r="37" spans="1:13" x14ac:dyDescent="0.2">
      <c r="B37" s="6"/>
    </row>
    <row r="38" spans="1:13" x14ac:dyDescent="0.2">
      <c r="B38" s="6"/>
    </row>
  </sheetData>
  <mergeCells count="14">
    <mergeCell ref="A3:A6"/>
    <mergeCell ref="A36:D36"/>
    <mergeCell ref="B1:E1"/>
    <mergeCell ref="F1:G1"/>
    <mergeCell ref="H1:K1"/>
    <mergeCell ref="B2:C2"/>
    <mergeCell ref="D2:E2"/>
    <mergeCell ref="A31:A34"/>
    <mergeCell ref="A11:A14"/>
    <mergeCell ref="A15:A18"/>
    <mergeCell ref="A19:A22"/>
    <mergeCell ref="A23:A26"/>
    <mergeCell ref="A27:A30"/>
    <mergeCell ref="A7:A10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00BC3-B8C9-4441-ABDF-D5CE5C9CDC00}">
  <dimension ref="A1:AA72"/>
  <sheetViews>
    <sheetView tabSelected="1" topLeftCell="F1" workbookViewId="0">
      <selection activeCell="Q22" sqref="Q22"/>
    </sheetView>
  </sheetViews>
  <sheetFormatPr baseColWidth="10" defaultRowHeight="16" x14ac:dyDescent="0.2"/>
  <cols>
    <col min="1" max="1" width="49.6640625" customWidth="1"/>
    <col min="8" max="8" width="15.83203125" customWidth="1"/>
    <col min="9" max="9" width="16" customWidth="1"/>
    <col min="10" max="10" width="17.83203125" customWidth="1"/>
    <col min="11" max="11" width="15.1640625" customWidth="1"/>
    <col min="12" max="12" width="18.5" customWidth="1"/>
    <col min="13" max="13" width="15" customWidth="1"/>
    <col min="15" max="15" width="4" customWidth="1"/>
    <col min="16" max="16" width="12.83203125" customWidth="1"/>
    <col min="17" max="17" width="27" customWidth="1"/>
    <col min="18" max="18" width="26.33203125" customWidth="1"/>
  </cols>
  <sheetData>
    <row r="1" spans="1:27" x14ac:dyDescent="0.2">
      <c r="A1" s="14" t="s">
        <v>162</v>
      </c>
      <c r="B1" s="25" t="s">
        <v>121</v>
      </c>
      <c r="C1" s="21"/>
      <c r="D1" s="21"/>
      <c r="E1" s="21"/>
      <c r="F1" s="21" t="s">
        <v>110</v>
      </c>
      <c r="G1" s="30"/>
      <c r="H1" s="31" t="s">
        <v>111</v>
      </c>
      <c r="I1" s="24"/>
      <c r="J1" s="24"/>
      <c r="K1" s="24"/>
      <c r="L1" s="14"/>
      <c r="M1" s="14"/>
      <c r="P1" s="25"/>
      <c r="Q1" s="21"/>
      <c r="R1" s="21"/>
      <c r="S1" s="21"/>
      <c r="T1" s="21"/>
      <c r="U1" s="22"/>
      <c r="V1" s="23"/>
      <c r="W1" s="24"/>
      <c r="X1" s="24"/>
      <c r="Y1" s="24"/>
    </row>
    <row r="2" spans="1:27" x14ac:dyDescent="0.2">
      <c r="A2" s="14"/>
      <c r="B2" s="25" t="s">
        <v>112</v>
      </c>
      <c r="C2" s="21"/>
      <c r="D2" s="21" t="s">
        <v>113</v>
      </c>
      <c r="E2" s="21"/>
      <c r="F2" s="15" t="s">
        <v>149</v>
      </c>
      <c r="G2" s="18" t="s">
        <v>150</v>
      </c>
      <c r="H2" s="16" t="s">
        <v>114</v>
      </c>
      <c r="I2" s="15" t="s">
        <v>115</v>
      </c>
      <c r="J2" s="15" t="s">
        <v>116</v>
      </c>
      <c r="K2" s="19" t="s">
        <v>134</v>
      </c>
      <c r="L2" s="17" t="s">
        <v>135</v>
      </c>
      <c r="M2" s="17" t="s">
        <v>117</v>
      </c>
      <c r="P2" s="25"/>
      <c r="Q2" s="21"/>
      <c r="R2" s="21"/>
      <c r="S2" s="21"/>
      <c r="T2" s="15"/>
      <c r="U2" s="18"/>
      <c r="V2" s="16"/>
      <c r="W2" s="15"/>
      <c r="X2" s="15"/>
      <c r="Y2" s="19"/>
      <c r="Z2" s="17"/>
      <c r="AA2" s="17"/>
    </row>
    <row r="3" spans="1:27" ht="64" customHeight="1" x14ac:dyDescent="0.2">
      <c r="A3" s="32" t="s">
        <v>125</v>
      </c>
      <c r="B3" s="10" t="s">
        <v>145</v>
      </c>
      <c r="C3" s="10" t="s">
        <v>146</v>
      </c>
      <c r="D3" s="10" t="s">
        <v>147</v>
      </c>
      <c r="E3" s="10" t="s">
        <v>148</v>
      </c>
      <c r="F3" s="10">
        <v>108</v>
      </c>
      <c r="G3" s="10">
        <v>12</v>
      </c>
      <c r="H3" s="37"/>
      <c r="I3" s="33">
        <v>7.92</v>
      </c>
      <c r="J3" s="36"/>
      <c r="K3" s="34">
        <v>17.59</v>
      </c>
      <c r="L3" s="34">
        <v>14.25</v>
      </c>
      <c r="M3" s="34">
        <v>13.57</v>
      </c>
      <c r="N3" s="6"/>
      <c r="O3" s="26"/>
      <c r="P3" s="6"/>
      <c r="Q3" s="6"/>
      <c r="R3" s="6"/>
      <c r="S3" s="6"/>
      <c r="T3" s="6"/>
      <c r="U3" s="6"/>
      <c r="V3" s="6"/>
      <c r="W3" s="35"/>
      <c r="X3" s="35"/>
      <c r="Y3" s="35"/>
      <c r="Z3" s="35"/>
      <c r="AA3" s="35"/>
    </row>
    <row r="4" spans="1:27" x14ac:dyDescent="0.2">
      <c r="A4" s="32"/>
      <c r="B4" s="10" t="s">
        <v>145</v>
      </c>
      <c r="C4" s="10" t="s">
        <v>151</v>
      </c>
      <c r="D4" s="10" t="s">
        <v>152</v>
      </c>
      <c r="E4" s="10" t="s">
        <v>146</v>
      </c>
      <c r="F4" s="10">
        <v>96</v>
      </c>
      <c r="G4" s="10">
        <v>12</v>
      </c>
      <c r="H4" s="37"/>
      <c r="I4" s="6">
        <v>19.04</v>
      </c>
      <c r="J4" s="36"/>
      <c r="K4" s="6">
        <v>12.69</v>
      </c>
      <c r="L4" s="6">
        <v>15.26</v>
      </c>
      <c r="M4" s="20">
        <v>12.2</v>
      </c>
      <c r="N4" s="6"/>
      <c r="O4" s="27"/>
      <c r="P4" s="6"/>
      <c r="Q4" s="6"/>
      <c r="R4" s="6"/>
      <c r="S4" s="6"/>
      <c r="T4" s="6"/>
      <c r="U4" s="6"/>
      <c r="V4" s="6"/>
      <c r="W4" s="35"/>
      <c r="X4" s="35"/>
      <c r="Y4" s="34"/>
      <c r="Z4" s="35"/>
      <c r="AA4" s="35"/>
    </row>
    <row r="5" spans="1:27" x14ac:dyDescent="0.2">
      <c r="A5" s="32"/>
      <c r="B5" s="10" t="s">
        <v>145</v>
      </c>
      <c r="C5" s="10" t="s">
        <v>153</v>
      </c>
      <c r="D5" s="10" t="s">
        <v>154</v>
      </c>
      <c r="E5" s="10" t="s">
        <v>151</v>
      </c>
      <c r="F5" s="10">
        <v>84</v>
      </c>
      <c r="G5" s="10">
        <v>12</v>
      </c>
      <c r="H5" s="37"/>
      <c r="I5" s="6">
        <v>21.2</v>
      </c>
      <c r="J5" s="36"/>
      <c r="K5" s="6">
        <v>13.63</v>
      </c>
      <c r="L5" s="6">
        <v>13.45</v>
      </c>
      <c r="M5" s="20">
        <v>12.75</v>
      </c>
      <c r="N5" s="6"/>
      <c r="O5" s="27"/>
      <c r="P5" s="6"/>
      <c r="Q5" s="6"/>
      <c r="R5" s="6"/>
      <c r="S5" s="6"/>
      <c r="T5" s="6"/>
      <c r="U5" s="6"/>
      <c r="V5" s="6"/>
      <c r="W5" s="35"/>
      <c r="X5" s="35"/>
      <c r="Y5" s="35"/>
      <c r="Z5" s="35"/>
      <c r="AA5" s="35"/>
    </row>
    <row r="6" spans="1:27" x14ac:dyDescent="0.2">
      <c r="A6" s="32"/>
      <c r="B6" s="10" t="s">
        <v>145</v>
      </c>
      <c r="C6" s="10" t="s">
        <v>155</v>
      </c>
      <c r="D6" s="10" t="s">
        <v>156</v>
      </c>
      <c r="E6" s="10" t="s">
        <v>153</v>
      </c>
      <c r="F6" s="10">
        <v>72</v>
      </c>
      <c r="G6" s="10">
        <v>12</v>
      </c>
      <c r="H6" s="37"/>
      <c r="I6" s="6">
        <v>16.46</v>
      </c>
      <c r="J6" s="36"/>
      <c r="K6" s="6">
        <v>10.39</v>
      </c>
      <c r="L6" s="20">
        <v>7.08</v>
      </c>
      <c r="M6" s="6">
        <v>9.66</v>
      </c>
      <c r="N6" s="6"/>
      <c r="O6" s="27"/>
      <c r="P6" s="6"/>
      <c r="Q6" s="6"/>
      <c r="R6" s="6"/>
      <c r="S6" s="6"/>
      <c r="T6" s="6"/>
      <c r="U6" s="6"/>
      <c r="V6" s="6"/>
      <c r="W6" s="35"/>
      <c r="X6" s="35"/>
      <c r="Y6" s="35"/>
      <c r="Z6" s="35"/>
      <c r="AA6" s="35"/>
    </row>
    <row r="7" spans="1:27" ht="32" customHeight="1" x14ac:dyDescent="0.2">
      <c r="A7" s="32" t="s">
        <v>126</v>
      </c>
      <c r="B7" s="10" t="s">
        <v>145</v>
      </c>
      <c r="C7" s="10" t="s">
        <v>146</v>
      </c>
      <c r="D7" s="10" t="s">
        <v>147</v>
      </c>
      <c r="E7" s="10" t="s">
        <v>148</v>
      </c>
      <c r="F7" s="10">
        <v>108</v>
      </c>
      <c r="G7" s="10">
        <v>12</v>
      </c>
      <c r="H7" s="37"/>
      <c r="I7" s="35">
        <v>16.96</v>
      </c>
      <c r="J7" s="37"/>
      <c r="K7" s="6">
        <v>21.87</v>
      </c>
      <c r="L7" s="20">
        <v>14.77</v>
      </c>
      <c r="M7" s="6">
        <v>18.100000000000001</v>
      </c>
      <c r="O7" s="26"/>
      <c r="P7" s="6"/>
      <c r="Q7" s="6"/>
      <c r="R7" s="6"/>
      <c r="S7" s="6"/>
      <c r="T7" s="6"/>
      <c r="U7" s="6"/>
      <c r="V7" s="6"/>
      <c r="W7" s="35"/>
      <c r="X7" s="35"/>
      <c r="Y7" s="35"/>
      <c r="Z7" s="35"/>
      <c r="AA7" s="35"/>
    </row>
    <row r="8" spans="1:27" x14ac:dyDescent="0.2">
      <c r="A8" s="32"/>
      <c r="B8" s="10" t="s">
        <v>145</v>
      </c>
      <c r="C8" s="10" t="s">
        <v>151</v>
      </c>
      <c r="D8" s="10" t="s">
        <v>152</v>
      </c>
      <c r="E8" s="10" t="s">
        <v>146</v>
      </c>
      <c r="F8" s="10">
        <v>96</v>
      </c>
      <c r="G8" s="10">
        <v>12</v>
      </c>
      <c r="H8" s="36"/>
      <c r="I8" s="6">
        <v>35.200000000000003</v>
      </c>
      <c r="J8" s="37"/>
      <c r="K8" s="34">
        <v>12.55</v>
      </c>
      <c r="L8" s="6">
        <v>14.31</v>
      </c>
      <c r="M8" s="20">
        <v>11.76</v>
      </c>
      <c r="O8" s="27"/>
      <c r="P8" s="6"/>
      <c r="Q8" s="6"/>
      <c r="R8" s="6"/>
      <c r="S8" s="6"/>
      <c r="T8" s="6"/>
      <c r="U8" s="6"/>
      <c r="V8" s="6"/>
      <c r="W8" s="35"/>
      <c r="X8" s="35"/>
      <c r="Y8" s="35"/>
      <c r="Z8" s="35"/>
      <c r="AA8" s="35"/>
    </row>
    <row r="9" spans="1:27" x14ac:dyDescent="0.2">
      <c r="A9" s="32"/>
      <c r="B9" s="10" t="s">
        <v>145</v>
      </c>
      <c r="C9" s="10" t="s">
        <v>153</v>
      </c>
      <c r="D9" s="10" t="s">
        <v>154</v>
      </c>
      <c r="E9" s="10" t="s">
        <v>151</v>
      </c>
      <c r="F9" s="10">
        <v>84</v>
      </c>
      <c r="G9" s="10">
        <v>12</v>
      </c>
      <c r="H9" s="36"/>
      <c r="I9" s="6">
        <v>24.76</v>
      </c>
      <c r="J9" s="37"/>
      <c r="K9" s="6">
        <v>13.29</v>
      </c>
      <c r="L9" s="6">
        <v>14.24</v>
      </c>
      <c r="M9" s="20">
        <v>12.55</v>
      </c>
      <c r="O9" s="27"/>
      <c r="P9" s="6"/>
      <c r="Q9" s="6"/>
      <c r="R9" s="6"/>
      <c r="S9" s="6"/>
      <c r="T9" s="6"/>
      <c r="U9" s="6"/>
      <c r="V9" s="6"/>
      <c r="W9" s="35"/>
      <c r="X9" s="35"/>
      <c r="Y9" s="35"/>
      <c r="Z9" s="35"/>
      <c r="AA9" s="35"/>
    </row>
    <row r="10" spans="1:27" x14ac:dyDescent="0.2">
      <c r="A10" s="32"/>
      <c r="B10" s="10" t="s">
        <v>145</v>
      </c>
      <c r="C10" s="10" t="s">
        <v>155</v>
      </c>
      <c r="D10" s="10" t="s">
        <v>156</v>
      </c>
      <c r="E10" s="10" t="s">
        <v>153</v>
      </c>
      <c r="F10" s="10">
        <v>72</v>
      </c>
      <c r="G10" s="10">
        <v>12</v>
      </c>
      <c r="H10" s="36"/>
      <c r="I10" s="6">
        <v>25.87</v>
      </c>
      <c r="J10" s="37"/>
      <c r="K10" s="6">
        <v>10.39</v>
      </c>
      <c r="L10" s="20">
        <v>6.61</v>
      </c>
      <c r="M10" s="6">
        <v>9.34</v>
      </c>
      <c r="O10" s="27"/>
      <c r="P10" s="6"/>
      <c r="Q10" s="6"/>
      <c r="R10" s="6"/>
      <c r="S10" s="6"/>
      <c r="T10" s="6"/>
      <c r="U10" s="6"/>
      <c r="V10" s="6"/>
      <c r="W10" s="35"/>
      <c r="X10" s="35"/>
      <c r="Y10" s="35"/>
      <c r="Z10" s="35"/>
      <c r="AA10" s="35"/>
    </row>
    <row r="11" spans="1:27" x14ac:dyDescent="0.2">
      <c r="A11" s="32" t="s">
        <v>128</v>
      </c>
      <c r="B11" s="10" t="s">
        <v>145</v>
      </c>
      <c r="C11" s="10" t="s">
        <v>146</v>
      </c>
      <c r="D11" s="10" t="s">
        <v>147</v>
      </c>
      <c r="E11" s="10" t="s">
        <v>148</v>
      </c>
      <c r="F11" s="10">
        <v>108</v>
      </c>
      <c r="G11" s="10">
        <v>12</v>
      </c>
      <c r="H11" s="36"/>
      <c r="I11" s="20">
        <v>8.11</v>
      </c>
      <c r="J11" s="37"/>
      <c r="K11" s="6">
        <v>19.11</v>
      </c>
      <c r="L11" s="35">
        <v>14.74</v>
      </c>
      <c r="M11" s="6">
        <v>13.79</v>
      </c>
      <c r="O11" s="26"/>
      <c r="P11" s="6"/>
      <c r="Q11" s="6"/>
      <c r="R11" s="6"/>
      <c r="S11" s="6"/>
      <c r="T11" s="6"/>
      <c r="U11" s="6"/>
      <c r="V11" s="6"/>
      <c r="W11" s="35"/>
      <c r="X11" s="35"/>
      <c r="Y11" s="35"/>
      <c r="Z11" s="35"/>
      <c r="AA11" s="35"/>
    </row>
    <row r="12" spans="1:27" x14ac:dyDescent="0.2">
      <c r="A12" s="32"/>
      <c r="B12" s="10" t="s">
        <v>145</v>
      </c>
      <c r="C12" s="10" t="s">
        <v>151</v>
      </c>
      <c r="D12" s="10" t="s">
        <v>152</v>
      </c>
      <c r="E12" s="10" t="s">
        <v>146</v>
      </c>
      <c r="F12" s="10">
        <v>96</v>
      </c>
      <c r="G12" s="10">
        <v>12</v>
      </c>
      <c r="H12" s="36"/>
      <c r="I12" s="34">
        <v>25.1</v>
      </c>
      <c r="J12" s="36"/>
      <c r="K12" s="34">
        <v>12.58</v>
      </c>
      <c r="L12" s="34">
        <v>14.41</v>
      </c>
      <c r="M12" s="33">
        <v>11.44</v>
      </c>
      <c r="O12" s="27"/>
      <c r="P12" s="6"/>
      <c r="Q12" s="6"/>
      <c r="R12" s="6"/>
      <c r="S12" s="6"/>
      <c r="T12" s="6"/>
      <c r="U12" s="6"/>
      <c r="V12" s="6"/>
      <c r="W12" s="35"/>
      <c r="X12" s="35"/>
      <c r="Y12" s="35"/>
      <c r="Z12" s="35"/>
      <c r="AA12" s="35"/>
    </row>
    <row r="13" spans="1:27" x14ac:dyDescent="0.2">
      <c r="A13" s="32"/>
      <c r="B13" s="10" t="s">
        <v>145</v>
      </c>
      <c r="C13" s="10" t="s">
        <v>153</v>
      </c>
      <c r="D13" s="10" t="s">
        <v>154</v>
      </c>
      <c r="E13" s="10" t="s">
        <v>151</v>
      </c>
      <c r="F13" s="10">
        <v>84</v>
      </c>
      <c r="G13" s="10">
        <v>12</v>
      </c>
      <c r="H13" s="36"/>
      <c r="I13" s="34">
        <v>20.52</v>
      </c>
      <c r="J13" s="36"/>
      <c r="K13" s="34">
        <v>13.11</v>
      </c>
      <c r="L13" s="34">
        <v>13.86</v>
      </c>
      <c r="M13" s="33">
        <v>12.46</v>
      </c>
      <c r="O13" s="27"/>
      <c r="P13" s="6"/>
      <c r="Q13" s="6"/>
      <c r="R13" s="6"/>
      <c r="S13" s="6"/>
      <c r="T13" s="6"/>
      <c r="U13" s="6"/>
      <c r="V13" s="6"/>
      <c r="W13" s="35"/>
      <c r="X13" s="35"/>
      <c r="Y13" s="35"/>
      <c r="Z13" s="35"/>
      <c r="AA13" s="35"/>
    </row>
    <row r="14" spans="1:27" x14ac:dyDescent="0.2">
      <c r="A14" s="32"/>
      <c r="B14" s="10" t="s">
        <v>145</v>
      </c>
      <c r="C14" s="10" t="s">
        <v>155</v>
      </c>
      <c r="D14" s="10" t="s">
        <v>156</v>
      </c>
      <c r="E14" s="10" t="s">
        <v>153</v>
      </c>
      <c r="F14" s="10">
        <v>72</v>
      </c>
      <c r="G14" s="10">
        <v>12</v>
      </c>
      <c r="H14" s="36"/>
      <c r="I14" s="34">
        <v>16.690000000000001</v>
      </c>
      <c r="J14" s="36"/>
      <c r="K14" s="34">
        <v>11.3</v>
      </c>
      <c r="L14" s="34">
        <v>7.41</v>
      </c>
      <c r="M14" s="34">
        <v>10.67</v>
      </c>
      <c r="O14" s="27"/>
      <c r="P14" s="6"/>
      <c r="Q14" s="6"/>
      <c r="R14" s="6"/>
      <c r="S14" s="6"/>
      <c r="T14" s="6"/>
      <c r="U14" s="6"/>
      <c r="V14" s="6"/>
      <c r="W14" s="35"/>
      <c r="X14" s="35"/>
      <c r="Y14" s="35"/>
      <c r="Z14" s="35"/>
      <c r="AA14" s="35"/>
    </row>
    <row r="15" spans="1:27" ht="48" customHeight="1" x14ac:dyDescent="0.2">
      <c r="A15" s="32" t="s">
        <v>127</v>
      </c>
      <c r="B15" s="10" t="s">
        <v>145</v>
      </c>
      <c r="C15" s="10" t="s">
        <v>146</v>
      </c>
      <c r="D15" s="10" t="s">
        <v>147</v>
      </c>
      <c r="E15" s="10" t="s">
        <v>148</v>
      </c>
      <c r="F15" s="10">
        <v>108</v>
      </c>
      <c r="G15" s="10">
        <v>12</v>
      </c>
      <c r="H15" s="36"/>
      <c r="I15" s="33">
        <v>8.27</v>
      </c>
      <c r="J15" s="36"/>
      <c r="K15" s="34">
        <v>21.9</v>
      </c>
      <c r="L15" s="34">
        <v>15.06</v>
      </c>
      <c r="M15" s="34">
        <v>14.76</v>
      </c>
      <c r="O15" s="26"/>
      <c r="P15" s="6"/>
      <c r="Q15" s="6"/>
      <c r="R15" s="6"/>
      <c r="S15" s="6"/>
      <c r="T15" s="6"/>
      <c r="U15" s="6"/>
      <c r="V15" s="6"/>
      <c r="W15" s="35"/>
      <c r="X15" s="35"/>
      <c r="Y15" s="35"/>
      <c r="Z15" s="35"/>
      <c r="AA15" s="35"/>
    </row>
    <row r="16" spans="1:27" x14ac:dyDescent="0.2">
      <c r="A16" s="32"/>
      <c r="B16" s="10" t="s">
        <v>145</v>
      </c>
      <c r="C16" s="10" t="s">
        <v>151</v>
      </c>
      <c r="D16" s="10" t="s">
        <v>152</v>
      </c>
      <c r="E16" s="10" t="s">
        <v>146</v>
      </c>
      <c r="F16" s="10">
        <v>96</v>
      </c>
      <c r="G16" s="10">
        <v>12</v>
      </c>
      <c r="H16" s="36"/>
      <c r="I16" s="34">
        <v>24.47</v>
      </c>
      <c r="J16" s="36"/>
      <c r="K16" s="34">
        <v>12.58</v>
      </c>
      <c r="L16" s="34">
        <v>14.4</v>
      </c>
      <c r="M16" s="33">
        <v>11.71</v>
      </c>
      <c r="O16" s="27"/>
      <c r="P16" s="6"/>
      <c r="Q16" s="6" t="s">
        <v>171</v>
      </c>
      <c r="R16" s="6" t="s">
        <v>170</v>
      </c>
      <c r="S16" s="6"/>
      <c r="T16" s="6"/>
      <c r="U16" s="6"/>
      <c r="V16" s="6"/>
      <c r="W16" s="35"/>
      <c r="X16" s="35"/>
      <c r="Y16" s="35"/>
      <c r="Z16" s="35"/>
      <c r="AA16" s="35"/>
    </row>
    <row r="17" spans="1:27" x14ac:dyDescent="0.2">
      <c r="A17" s="32"/>
      <c r="B17" s="10" t="s">
        <v>145</v>
      </c>
      <c r="C17" s="10" t="s">
        <v>153</v>
      </c>
      <c r="D17" s="10" t="s">
        <v>154</v>
      </c>
      <c r="E17" s="10" t="s">
        <v>151</v>
      </c>
      <c r="F17" s="10">
        <v>84</v>
      </c>
      <c r="G17" s="10">
        <v>12</v>
      </c>
      <c r="H17" s="36"/>
      <c r="I17" s="34">
        <v>37.229999999999997</v>
      </c>
      <c r="J17" s="36"/>
      <c r="K17" s="33">
        <v>13.16</v>
      </c>
      <c r="L17" s="34">
        <v>13.68</v>
      </c>
      <c r="M17" s="34">
        <v>13.62</v>
      </c>
      <c r="O17" s="27"/>
      <c r="P17" s="6" t="s">
        <v>169</v>
      </c>
      <c r="Q17" s="6">
        <v>12.3</v>
      </c>
      <c r="R17" s="6">
        <v>12.44</v>
      </c>
      <c r="S17" s="6"/>
      <c r="T17" s="6"/>
      <c r="U17" s="6"/>
      <c r="V17" s="6"/>
      <c r="W17" s="35"/>
      <c r="X17" s="35"/>
      <c r="Y17" s="35"/>
      <c r="Z17" s="35"/>
      <c r="AA17" s="35"/>
    </row>
    <row r="18" spans="1:27" x14ac:dyDescent="0.2">
      <c r="A18" s="32"/>
      <c r="B18" s="10" t="s">
        <v>145</v>
      </c>
      <c r="C18" s="10" t="s">
        <v>155</v>
      </c>
      <c r="D18" s="10" t="s">
        <v>156</v>
      </c>
      <c r="E18" s="10" t="s">
        <v>153</v>
      </c>
      <c r="F18" s="10">
        <v>72</v>
      </c>
      <c r="G18" s="10">
        <v>12</v>
      </c>
      <c r="H18" s="36"/>
      <c r="I18" s="34">
        <v>12.38</v>
      </c>
      <c r="J18" s="36"/>
      <c r="K18" s="34">
        <v>9.51</v>
      </c>
      <c r="L18" s="33">
        <v>7.24</v>
      </c>
      <c r="M18" s="34">
        <v>9.43</v>
      </c>
      <c r="O18" s="27"/>
      <c r="R18" s="6"/>
      <c r="S18" s="6"/>
      <c r="T18" s="6"/>
      <c r="U18" s="6"/>
      <c r="V18" s="6"/>
      <c r="W18" s="35"/>
      <c r="X18" s="35"/>
      <c r="Y18" s="35"/>
      <c r="Z18" s="35"/>
      <c r="AA18" s="35"/>
    </row>
    <row r="19" spans="1:27" ht="48" customHeight="1" x14ac:dyDescent="0.2">
      <c r="A19" s="32" t="s">
        <v>129</v>
      </c>
      <c r="B19" s="10" t="s">
        <v>145</v>
      </c>
      <c r="C19" s="10" t="s">
        <v>146</v>
      </c>
      <c r="D19" s="10" t="s">
        <v>147</v>
      </c>
      <c r="E19" s="10" t="s">
        <v>148</v>
      </c>
      <c r="F19" s="10">
        <v>108</v>
      </c>
      <c r="G19" s="10">
        <v>12</v>
      </c>
      <c r="H19" s="36"/>
      <c r="I19" s="33">
        <v>7.78</v>
      </c>
      <c r="J19" s="36"/>
      <c r="K19" s="34">
        <v>17.41</v>
      </c>
      <c r="L19" s="34">
        <v>15.09</v>
      </c>
      <c r="M19" s="34">
        <v>13.65</v>
      </c>
      <c r="O19" s="26"/>
      <c r="R19" s="6"/>
      <c r="S19" s="6"/>
      <c r="T19" s="6"/>
      <c r="U19" s="6"/>
      <c r="V19" s="6"/>
      <c r="W19" s="35"/>
      <c r="X19" s="35"/>
      <c r="Y19" s="35"/>
      <c r="Z19" s="35"/>
      <c r="AA19" s="35"/>
    </row>
    <row r="20" spans="1:27" x14ac:dyDescent="0.2">
      <c r="A20" s="32"/>
      <c r="B20" s="10" t="s">
        <v>145</v>
      </c>
      <c r="C20" s="10" t="s">
        <v>151</v>
      </c>
      <c r="D20" s="10" t="s">
        <v>152</v>
      </c>
      <c r="E20" s="10" t="s">
        <v>146</v>
      </c>
      <c r="F20" s="10">
        <v>96</v>
      </c>
      <c r="G20" s="10">
        <v>12</v>
      </c>
      <c r="H20" s="36"/>
      <c r="I20" s="34">
        <v>26.07</v>
      </c>
      <c r="J20" s="36"/>
      <c r="K20" s="34">
        <v>12.54</v>
      </c>
      <c r="L20" s="34">
        <v>13.85</v>
      </c>
      <c r="M20" s="33">
        <v>11.62</v>
      </c>
      <c r="O20" s="27"/>
      <c r="P20" s="6"/>
      <c r="Q20" s="6" t="s">
        <v>172</v>
      </c>
      <c r="R20" s="6"/>
      <c r="S20" s="6"/>
      <c r="T20" s="6"/>
      <c r="U20" s="6"/>
      <c r="V20" s="6"/>
      <c r="W20" s="35"/>
      <c r="X20" s="35"/>
      <c r="Y20" s="35"/>
      <c r="Z20" s="35"/>
      <c r="AA20" s="35"/>
    </row>
    <row r="21" spans="1:27" x14ac:dyDescent="0.2">
      <c r="A21" s="32"/>
      <c r="B21" s="10" t="s">
        <v>145</v>
      </c>
      <c r="C21" s="10" t="s">
        <v>153</v>
      </c>
      <c r="D21" s="10" t="s">
        <v>154</v>
      </c>
      <c r="E21" s="10" t="s">
        <v>151</v>
      </c>
      <c r="F21" s="10">
        <v>84</v>
      </c>
      <c r="G21" s="10">
        <v>12</v>
      </c>
      <c r="H21" s="36"/>
      <c r="I21" s="34">
        <v>24.3</v>
      </c>
      <c r="J21" s="36"/>
      <c r="K21" s="34">
        <v>13.52</v>
      </c>
      <c r="L21" s="34">
        <v>13.8</v>
      </c>
      <c r="M21" s="33">
        <v>12.82</v>
      </c>
      <c r="O21" s="27"/>
      <c r="P21" s="6"/>
      <c r="Q21" s="6"/>
      <c r="R21" s="6"/>
      <c r="S21" s="6"/>
      <c r="T21" s="6"/>
      <c r="U21" s="6"/>
      <c r="V21" s="6"/>
      <c r="W21" s="35"/>
      <c r="X21" s="35"/>
      <c r="Y21" s="35"/>
      <c r="Z21" s="35"/>
      <c r="AA21" s="35"/>
    </row>
    <row r="22" spans="1:27" x14ac:dyDescent="0.2">
      <c r="A22" s="32"/>
      <c r="B22" s="10" t="s">
        <v>145</v>
      </c>
      <c r="C22" s="10" t="s">
        <v>155</v>
      </c>
      <c r="D22" s="10" t="s">
        <v>156</v>
      </c>
      <c r="E22" s="10" t="s">
        <v>153</v>
      </c>
      <c r="F22" s="10">
        <v>72</v>
      </c>
      <c r="G22" s="10">
        <v>12</v>
      </c>
      <c r="H22" s="36"/>
      <c r="I22" s="34">
        <v>22.03</v>
      </c>
      <c r="J22" s="36"/>
      <c r="K22" s="34">
        <v>10.119999999999999</v>
      </c>
      <c r="L22" s="33">
        <v>7.43</v>
      </c>
      <c r="M22" s="34">
        <v>9.66</v>
      </c>
      <c r="O22" s="27"/>
      <c r="P22" s="6"/>
      <c r="Q22" s="6"/>
      <c r="R22" s="6"/>
      <c r="S22" s="6"/>
      <c r="T22" s="6"/>
      <c r="U22" s="6"/>
      <c r="V22" s="6"/>
      <c r="W22" s="35"/>
      <c r="X22" s="35"/>
      <c r="Y22" s="35"/>
      <c r="Z22" s="35"/>
      <c r="AA22" s="35"/>
    </row>
    <row r="23" spans="1:27" ht="144" customHeight="1" x14ac:dyDescent="0.2">
      <c r="A23" s="32" t="s">
        <v>130</v>
      </c>
      <c r="B23" s="10" t="s">
        <v>145</v>
      </c>
      <c r="C23" s="10" t="s">
        <v>146</v>
      </c>
      <c r="D23" s="10" t="s">
        <v>147</v>
      </c>
      <c r="E23" s="10" t="s">
        <v>148</v>
      </c>
      <c r="F23" s="10">
        <v>108</v>
      </c>
      <c r="G23" s="10">
        <v>12</v>
      </c>
      <c r="H23" s="36"/>
      <c r="I23" s="33">
        <v>8.06</v>
      </c>
      <c r="J23" s="36"/>
      <c r="K23" s="34">
        <v>21.29</v>
      </c>
      <c r="L23" s="34">
        <v>15.03</v>
      </c>
      <c r="M23" s="34">
        <v>14.46</v>
      </c>
      <c r="O23" s="26"/>
      <c r="P23" s="6"/>
      <c r="Q23" s="6"/>
      <c r="R23" s="6"/>
      <c r="S23" s="6"/>
      <c r="T23" s="6"/>
      <c r="U23" s="6"/>
      <c r="V23" s="6"/>
      <c r="W23" s="35"/>
      <c r="X23" s="35"/>
      <c r="Y23" s="35"/>
      <c r="Z23" s="35"/>
      <c r="AA23" s="35"/>
    </row>
    <row r="24" spans="1:27" x14ac:dyDescent="0.2">
      <c r="A24" s="32"/>
      <c r="B24" s="10" t="s">
        <v>145</v>
      </c>
      <c r="C24" s="10" t="s">
        <v>151</v>
      </c>
      <c r="D24" s="10" t="s">
        <v>152</v>
      </c>
      <c r="E24" s="10" t="s">
        <v>146</v>
      </c>
      <c r="F24" s="10">
        <v>96</v>
      </c>
      <c r="G24" s="10">
        <v>12</v>
      </c>
      <c r="H24" s="36"/>
      <c r="I24" s="34">
        <v>22.1</v>
      </c>
      <c r="J24" s="36"/>
      <c r="K24" s="34">
        <v>12.69</v>
      </c>
      <c r="L24" s="34">
        <v>14.04</v>
      </c>
      <c r="M24" s="34">
        <v>11.46</v>
      </c>
      <c r="O24" s="27"/>
      <c r="P24" s="6"/>
      <c r="Q24" s="6"/>
      <c r="R24" s="6"/>
      <c r="S24" s="6"/>
      <c r="T24" s="6"/>
      <c r="U24" s="6"/>
      <c r="V24" s="35"/>
      <c r="W24" s="35"/>
      <c r="X24" s="35"/>
      <c r="Y24" s="35"/>
      <c r="Z24" s="35"/>
      <c r="AA24" s="35"/>
    </row>
    <row r="25" spans="1:27" x14ac:dyDescent="0.2">
      <c r="A25" s="32"/>
      <c r="B25" s="10" t="s">
        <v>145</v>
      </c>
      <c r="C25" s="10" t="s">
        <v>153</v>
      </c>
      <c r="D25" s="10" t="s">
        <v>154</v>
      </c>
      <c r="E25" s="10" t="s">
        <v>151</v>
      </c>
      <c r="F25" s="10">
        <v>84</v>
      </c>
      <c r="G25" s="10">
        <v>12</v>
      </c>
      <c r="H25" s="36"/>
      <c r="I25" s="34">
        <v>21.18</v>
      </c>
      <c r="J25" s="36"/>
      <c r="K25" s="34">
        <v>13.59</v>
      </c>
      <c r="L25" s="34">
        <v>14.37</v>
      </c>
      <c r="M25" s="33">
        <v>13.09</v>
      </c>
      <c r="O25" s="27"/>
      <c r="P25" s="6"/>
      <c r="Q25" s="6"/>
      <c r="R25" s="6"/>
      <c r="S25" s="6"/>
      <c r="T25" s="6"/>
      <c r="U25" s="6"/>
      <c r="V25" s="35"/>
      <c r="W25" s="35"/>
      <c r="X25" s="35"/>
      <c r="Y25" s="35"/>
      <c r="Z25" s="35"/>
      <c r="AA25" s="35"/>
    </row>
    <row r="26" spans="1:27" x14ac:dyDescent="0.2">
      <c r="A26" s="32"/>
      <c r="B26" s="10" t="s">
        <v>145</v>
      </c>
      <c r="C26" s="10" t="s">
        <v>155</v>
      </c>
      <c r="D26" s="10" t="s">
        <v>156</v>
      </c>
      <c r="E26" s="10" t="s">
        <v>153</v>
      </c>
      <c r="F26" s="10">
        <v>72</v>
      </c>
      <c r="G26" s="10">
        <v>12</v>
      </c>
      <c r="H26" s="36"/>
      <c r="I26" s="34">
        <v>17.79</v>
      </c>
      <c r="J26" s="36"/>
      <c r="K26" s="34">
        <v>10.32</v>
      </c>
      <c r="L26" s="33">
        <v>7.08</v>
      </c>
      <c r="M26" s="34">
        <v>9.8000000000000007</v>
      </c>
      <c r="O26" s="27"/>
      <c r="P26" s="6"/>
      <c r="Q26" s="6"/>
      <c r="R26" s="6"/>
      <c r="S26" s="6"/>
      <c r="T26" s="6"/>
      <c r="U26" s="6"/>
      <c r="V26" s="35"/>
      <c r="W26" s="35"/>
      <c r="X26" s="35"/>
      <c r="Y26" s="35"/>
      <c r="Z26" s="35"/>
      <c r="AA26" s="35"/>
    </row>
    <row r="27" spans="1:27" ht="80" customHeight="1" x14ac:dyDescent="0.2">
      <c r="A27" s="32" t="s">
        <v>131</v>
      </c>
      <c r="B27" s="10" t="s">
        <v>145</v>
      </c>
      <c r="C27" s="10" t="s">
        <v>146</v>
      </c>
      <c r="D27" s="10" t="s">
        <v>147</v>
      </c>
      <c r="E27" s="10" t="s">
        <v>148</v>
      </c>
      <c r="F27" s="10">
        <v>108</v>
      </c>
      <c r="G27" s="10">
        <v>12</v>
      </c>
      <c r="H27" s="36"/>
      <c r="I27" s="33">
        <v>8.39</v>
      </c>
      <c r="J27" s="36"/>
      <c r="K27" s="34">
        <v>21.47</v>
      </c>
      <c r="L27" s="34">
        <v>14.65</v>
      </c>
      <c r="M27" s="34">
        <v>14.2</v>
      </c>
      <c r="O27" s="26"/>
      <c r="P27" s="6"/>
      <c r="Q27" s="6"/>
      <c r="R27" s="6"/>
      <c r="S27" s="6"/>
      <c r="T27" s="6"/>
      <c r="U27" s="6"/>
      <c r="V27" s="35"/>
      <c r="W27" s="35"/>
      <c r="X27" s="35"/>
      <c r="Y27" s="35"/>
      <c r="Z27" s="35"/>
      <c r="AA27" s="35"/>
    </row>
    <row r="28" spans="1:27" x14ac:dyDescent="0.2">
      <c r="A28" s="32"/>
      <c r="B28" s="10" t="s">
        <v>145</v>
      </c>
      <c r="C28" s="10" t="s">
        <v>151</v>
      </c>
      <c r="D28" s="10" t="s">
        <v>152</v>
      </c>
      <c r="E28" s="10" t="s">
        <v>146</v>
      </c>
      <c r="F28" s="10">
        <v>96</v>
      </c>
      <c r="G28" s="10">
        <v>12</v>
      </c>
      <c r="H28" s="36"/>
      <c r="I28" s="34">
        <v>25.04</v>
      </c>
      <c r="J28" s="36"/>
      <c r="K28" s="34">
        <v>12.08</v>
      </c>
      <c r="L28" s="34">
        <v>14.79</v>
      </c>
      <c r="M28" s="33">
        <v>11.34</v>
      </c>
      <c r="O28" s="27"/>
      <c r="P28" s="6"/>
      <c r="Q28" s="6"/>
      <c r="R28" s="6"/>
      <c r="S28" s="6"/>
      <c r="T28" s="6"/>
      <c r="U28" s="6"/>
      <c r="V28" s="35"/>
      <c r="W28" s="35"/>
      <c r="X28" s="35"/>
      <c r="Y28" s="35"/>
      <c r="Z28" s="35"/>
      <c r="AA28" s="35"/>
    </row>
    <row r="29" spans="1:27" x14ac:dyDescent="0.2">
      <c r="A29" s="32"/>
      <c r="B29" s="10" t="s">
        <v>145</v>
      </c>
      <c r="C29" s="10" t="s">
        <v>153</v>
      </c>
      <c r="D29" s="10" t="s">
        <v>154</v>
      </c>
      <c r="E29" s="10" t="s">
        <v>151</v>
      </c>
      <c r="F29" s="10">
        <v>84</v>
      </c>
      <c r="G29" s="10">
        <v>12</v>
      </c>
      <c r="H29" s="36"/>
      <c r="I29" s="34">
        <v>23.68</v>
      </c>
      <c r="J29" s="36"/>
      <c r="K29" s="34">
        <v>15.1</v>
      </c>
      <c r="L29" s="34">
        <v>13.81</v>
      </c>
      <c r="M29" s="34">
        <v>13.96</v>
      </c>
      <c r="O29" s="27"/>
      <c r="P29" s="6"/>
      <c r="Q29" s="6"/>
      <c r="R29" s="6"/>
      <c r="S29" s="6"/>
      <c r="T29" s="6"/>
      <c r="U29" s="6"/>
      <c r="V29" s="35"/>
      <c r="W29" s="35"/>
      <c r="X29" s="35"/>
      <c r="Y29" s="35"/>
      <c r="Z29" s="35"/>
      <c r="AA29" s="35"/>
    </row>
    <row r="30" spans="1:27" x14ac:dyDescent="0.2">
      <c r="A30" s="32"/>
      <c r="B30" s="10" t="s">
        <v>145</v>
      </c>
      <c r="C30" s="10" t="s">
        <v>155</v>
      </c>
      <c r="D30" s="10" t="s">
        <v>156</v>
      </c>
      <c r="E30" s="10" t="s">
        <v>153</v>
      </c>
      <c r="F30" s="10">
        <v>72</v>
      </c>
      <c r="G30" s="10">
        <v>12</v>
      </c>
      <c r="H30" s="36"/>
      <c r="I30" s="34">
        <v>14.64</v>
      </c>
      <c r="J30" s="36"/>
      <c r="K30" s="34">
        <v>11.92</v>
      </c>
      <c r="L30" s="33">
        <v>8.2899999999999991</v>
      </c>
      <c r="M30" s="34">
        <v>10.75</v>
      </c>
      <c r="O30" s="27"/>
      <c r="P30" s="6"/>
      <c r="Q30" s="6"/>
      <c r="R30" s="6"/>
      <c r="S30" s="6"/>
      <c r="T30" s="6"/>
      <c r="U30" s="6"/>
      <c r="V30" s="35"/>
      <c r="W30" s="35"/>
      <c r="X30" s="35"/>
      <c r="Y30" s="35"/>
      <c r="Z30" s="35"/>
      <c r="AA30" s="35"/>
    </row>
    <row r="31" spans="1:27" x14ac:dyDescent="0.2">
      <c r="A31" s="32"/>
      <c r="B31" s="10"/>
      <c r="C31" s="10"/>
      <c r="D31" s="10"/>
      <c r="E31" s="10"/>
      <c r="F31" s="10"/>
      <c r="G31" s="10"/>
      <c r="H31" s="10"/>
      <c r="I31" s="10"/>
      <c r="J31" s="34"/>
      <c r="K31" s="34"/>
      <c r="L31" s="34"/>
      <c r="M31" s="10"/>
      <c r="O31" s="26"/>
      <c r="P31" s="6"/>
      <c r="Q31" s="6"/>
      <c r="R31" s="6"/>
      <c r="S31" s="6"/>
      <c r="T31" s="6"/>
      <c r="U31" s="6"/>
      <c r="V31" s="35"/>
      <c r="W31" s="35"/>
      <c r="X31" s="35"/>
      <c r="Y31" s="35"/>
      <c r="Z31" s="35"/>
      <c r="AA31" s="35"/>
    </row>
    <row r="32" spans="1:27" x14ac:dyDescent="0.2">
      <c r="A32" s="32"/>
      <c r="B32" s="10"/>
      <c r="C32" s="10"/>
      <c r="D32" s="10"/>
      <c r="E32" s="10"/>
      <c r="F32" s="10"/>
      <c r="G32" s="10"/>
      <c r="H32" s="10"/>
      <c r="I32" s="10"/>
      <c r="J32" s="34"/>
      <c r="K32" s="34"/>
      <c r="L32" s="34"/>
      <c r="M32" s="10"/>
      <c r="O32" s="27"/>
      <c r="P32" s="6"/>
      <c r="Q32" s="6"/>
      <c r="R32" s="6"/>
      <c r="S32" s="6"/>
      <c r="T32" s="6"/>
      <c r="U32" s="6"/>
      <c r="V32" s="35"/>
      <c r="W32" s="35"/>
      <c r="X32" s="35"/>
      <c r="Y32" s="35"/>
      <c r="Z32" s="35"/>
      <c r="AA32" s="35"/>
    </row>
    <row r="33" spans="1:27" x14ac:dyDescent="0.2">
      <c r="A33" s="32"/>
      <c r="B33" s="10"/>
      <c r="C33" s="10"/>
      <c r="D33" s="10"/>
      <c r="E33" s="10"/>
      <c r="F33" s="10"/>
      <c r="G33" s="10"/>
      <c r="H33" s="10"/>
      <c r="I33" s="10"/>
      <c r="J33" s="34"/>
      <c r="K33" s="34"/>
      <c r="L33" s="34"/>
      <c r="M33" s="10"/>
      <c r="O33" s="27"/>
      <c r="P33" s="6"/>
      <c r="Q33" s="6"/>
      <c r="R33" s="6"/>
      <c r="S33" s="6"/>
      <c r="T33" s="6"/>
      <c r="U33" s="6"/>
      <c r="V33" s="35"/>
      <c r="W33" s="35"/>
      <c r="X33" s="35"/>
      <c r="Y33" s="35"/>
      <c r="Z33" s="35"/>
      <c r="AA33" s="35"/>
    </row>
    <row r="34" spans="1:27" ht="17" thickBot="1" x14ac:dyDescent="0.25">
      <c r="A34" s="32"/>
      <c r="B34" s="10"/>
      <c r="C34" s="10"/>
      <c r="D34" s="10"/>
      <c r="E34" s="10"/>
      <c r="F34" s="10"/>
      <c r="G34" s="10"/>
      <c r="H34" s="10"/>
      <c r="I34" s="10"/>
      <c r="J34" s="34"/>
      <c r="K34" s="34"/>
      <c r="L34" s="34"/>
      <c r="M34" s="10"/>
      <c r="O34" s="27"/>
      <c r="P34" s="6"/>
      <c r="Q34" s="6"/>
      <c r="R34" s="6"/>
      <c r="S34" s="6"/>
      <c r="T34" s="6"/>
      <c r="U34" s="6"/>
      <c r="V34" s="35"/>
      <c r="W34" s="35"/>
      <c r="X34" s="35"/>
      <c r="Y34" s="35"/>
      <c r="Z34" s="35"/>
      <c r="AA34" s="35"/>
    </row>
    <row r="35" spans="1:27" x14ac:dyDescent="0.2">
      <c r="A35" s="14"/>
      <c r="B35" s="25" t="s">
        <v>121</v>
      </c>
      <c r="C35" s="21"/>
      <c r="D35" s="21"/>
      <c r="E35" s="21"/>
      <c r="F35" s="21" t="s">
        <v>110</v>
      </c>
      <c r="G35" s="30"/>
      <c r="H35" s="31" t="s">
        <v>111</v>
      </c>
      <c r="I35" s="24"/>
      <c r="J35" s="24"/>
      <c r="K35" s="24"/>
      <c r="L35" s="14"/>
      <c r="M35" s="14"/>
      <c r="V35" s="38"/>
      <c r="W35" s="38"/>
      <c r="X35" s="38"/>
      <c r="Y35" s="38"/>
      <c r="Z35" s="38"/>
      <c r="AA35" s="38"/>
    </row>
    <row r="36" spans="1:27" x14ac:dyDescent="0.2">
      <c r="A36" s="14"/>
      <c r="B36" s="25" t="s">
        <v>112</v>
      </c>
      <c r="C36" s="21"/>
      <c r="D36" s="21" t="s">
        <v>113</v>
      </c>
      <c r="E36" s="21"/>
      <c r="F36" s="15" t="s">
        <v>149</v>
      </c>
      <c r="G36" s="18" t="s">
        <v>150</v>
      </c>
      <c r="H36" s="16" t="s">
        <v>114</v>
      </c>
      <c r="I36" s="15" t="s">
        <v>115</v>
      </c>
      <c r="J36" s="15" t="s">
        <v>116</v>
      </c>
      <c r="K36" s="19" t="s">
        <v>134</v>
      </c>
      <c r="L36" s="17" t="s">
        <v>135</v>
      </c>
      <c r="M36" s="17" t="s">
        <v>117</v>
      </c>
      <c r="V36" s="38"/>
      <c r="W36" s="38"/>
      <c r="X36" s="38"/>
      <c r="Y36" s="38"/>
      <c r="Z36" s="38"/>
      <c r="AA36" s="38"/>
    </row>
    <row r="37" spans="1:27" x14ac:dyDescent="0.2">
      <c r="A37" s="32" t="s">
        <v>125</v>
      </c>
      <c r="B37" s="10" t="s">
        <v>145</v>
      </c>
      <c r="C37" s="10" t="s">
        <v>146</v>
      </c>
      <c r="D37" s="10" t="s">
        <v>147</v>
      </c>
      <c r="E37" s="10" t="s">
        <v>163</v>
      </c>
      <c r="F37" s="10">
        <v>108</v>
      </c>
      <c r="G37" s="10">
        <v>3</v>
      </c>
      <c r="H37" s="37"/>
      <c r="I37" s="33">
        <v>3.13</v>
      </c>
      <c r="J37" s="36"/>
      <c r="K37" s="34">
        <v>18.64</v>
      </c>
      <c r="L37" s="34">
        <v>14.23</v>
      </c>
      <c r="M37" s="34">
        <v>13.01</v>
      </c>
    </row>
    <row r="38" spans="1:27" x14ac:dyDescent="0.2">
      <c r="A38" s="32"/>
      <c r="B38" s="10" t="s">
        <v>145</v>
      </c>
      <c r="C38" s="10" t="s">
        <v>151</v>
      </c>
      <c r="D38" s="10" t="s">
        <v>152</v>
      </c>
      <c r="E38" s="10" t="s">
        <v>164</v>
      </c>
      <c r="F38" s="10">
        <v>96</v>
      </c>
      <c r="G38" s="10">
        <v>3</v>
      </c>
      <c r="H38" s="37"/>
      <c r="I38" s="34">
        <v>6.49</v>
      </c>
      <c r="J38" s="36"/>
      <c r="K38" s="33">
        <v>4.5199999999999996</v>
      </c>
      <c r="L38" s="34">
        <v>6.93</v>
      </c>
      <c r="M38" s="34">
        <v>4.5199999999999996</v>
      </c>
    </row>
    <row r="39" spans="1:27" x14ac:dyDescent="0.2">
      <c r="A39" s="32"/>
      <c r="B39" s="10" t="s">
        <v>145</v>
      </c>
      <c r="C39" s="10" t="s">
        <v>153</v>
      </c>
      <c r="D39" s="10" t="s">
        <v>154</v>
      </c>
      <c r="E39" s="10" t="s">
        <v>165</v>
      </c>
      <c r="F39" s="10">
        <v>84</v>
      </c>
      <c r="G39" s="10">
        <v>3</v>
      </c>
      <c r="H39" s="37"/>
      <c r="I39" s="34">
        <v>11.64</v>
      </c>
      <c r="J39" s="36"/>
      <c r="K39" s="34">
        <v>11.24</v>
      </c>
      <c r="L39" s="33">
        <v>6.21</v>
      </c>
      <c r="M39" s="34">
        <v>6.21</v>
      </c>
    </row>
    <row r="40" spans="1:27" x14ac:dyDescent="0.2">
      <c r="A40" s="32"/>
      <c r="B40" s="10" t="s">
        <v>145</v>
      </c>
      <c r="C40" s="10" t="s">
        <v>155</v>
      </c>
      <c r="D40" s="10" t="s">
        <v>156</v>
      </c>
      <c r="E40" s="10" t="s">
        <v>166</v>
      </c>
      <c r="F40" s="10">
        <v>72</v>
      </c>
      <c r="G40" s="10">
        <v>3</v>
      </c>
      <c r="H40" s="37"/>
      <c r="I40" s="34">
        <v>18.43</v>
      </c>
      <c r="J40" s="36"/>
      <c r="K40" s="34">
        <v>9.49</v>
      </c>
      <c r="L40" s="33">
        <v>8.58</v>
      </c>
      <c r="M40" s="34">
        <v>9.8000000000000007</v>
      </c>
    </row>
    <row r="41" spans="1:27" x14ac:dyDescent="0.2">
      <c r="A41" s="32" t="s">
        <v>126</v>
      </c>
      <c r="B41" s="10" t="s">
        <v>145</v>
      </c>
      <c r="C41" s="10" t="s">
        <v>146</v>
      </c>
      <c r="D41" s="10" t="s">
        <v>147</v>
      </c>
      <c r="E41" s="10" t="s">
        <v>163</v>
      </c>
      <c r="F41" s="10">
        <v>108</v>
      </c>
      <c r="G41" s="10">
        <v>3</v>
      </c>
      <c r="H41" s="36"/>
      <c r="I41" s="35">
        <v>15.76</v>
      </c>
      <c r="J41" s="37"/>
      <c r="K41" s="35">
        <v>24.69</v>
      </c>
      <c r="L41" s="20">
        <v>14.7</v>
      </c>
      <c r="M41" s="35">
        <v>16.649999999999999</v>
      </c>
    </row>
    <row r="42" spans="1:27" x14ac:dyDescent="0.2">
      <c r="A42" s="32"/>
      <c r="B42" s="10" t="s">
        <v>145</v>
      </c>
      <c r="C42" s="10" t="s">
        <v>151</v>
      </c>
      <c r="D42" s="10" t="s">
        <v>152</v>
      </c>
      <c r="E42" s="10" t="s">
        <v>164</v>
      </c>
      <c r="F42" s="10">
        <v>96</v>
      </c>
      <c r="G42" s="10">
        <v>3</v>
      </c>
      <c r="H42" s="36"/>
      <c r="I42" s="35">
        <v>10.5</v>
      </c>
      <c r="J42" s="37"/>
      <c r="K42" s="34">
        <v>5.91</v>
      </c>
      <c r="L42" s="35">
        <v>6.34</v>
      </c>
      <c r="M42" s="20">
        <v>5.5</v>
      </c>
    </row>
    <row r="43" spans="1:27" x14ac:dyDescent="0.2">
      <c r="A43" s="32"/>
      <c r="B43" s="10" t="s">
        <v>145</v>
      </c>
      <c r="C43" s="10" t="s">
        <v>153</v>
      </c>
      <c r="D43" s="10" t="s">
        <v>154</v>
      </c>
      <c r="E43" s="10" t="s">
        <v>165</v>
      </c>
      <c r="F43" s="10">
        <v>84</v>
      </c>
      <c r="G43" s="10">
        <v>3</v>
      </c>
      <c r="H43" s="36"/>
      <c r="I43" s="35">
        <v>15.55</v>
      </c>
      <c r="J43" s="37"/>
      <c r="K43" s="35">
        <v>10.86</v>
      </c>
      <c r="L43" s="20">
        <v>6.48</v>
      </c>
      <c r="M43" s="35">
        <v>6.48</v>
      </c>
    </row>
    <row r="44" spans="1:27" x14ac:dyDescent="0.2">
      <c r="A44" s="32"/>
      <c r="B44" s="10" t="s">
        <v>145</v>
      </c>
      <c r="C44" s="10" t="s">
        <v>155</v>
      </c>
      <c r="D44" s="10" t="s">
        <v>156</v>
      </c>
      <c r="E44" s="10" t="s">
        <v>166</v>
      </c>
      <c r="F44" s="10">
        <v>72</v>
      </c>
      <c r="G44" s="10">
        <v>3</v>
      </c>
      <c r="H44" s="36"/>
      <c r="I44" s="35">
        <v>23.27</v>
      </c>
      <c r="J44" s="37"/>
      <c r="K44" s="35">
        <v>9.64</v>
      </c>
      <c r="L44" s="20">
        <v>7.99</v>
      </c>
      <c r="M44" s="35">
        <v>9.7899999999999991</v>
      </c>
    </row>
    <row r="45" spans="1:27" x14ac:dyDescent="0.2">
      <c r="A45" s="32" t="s">
        <v>128</v>
      </c>
      <c r="B45" s="10" t="s">
        <v>145</v>
      </c>
      <c r="C45" s="10" t="s">
        <v>146</v>
      </c>
      <c r="D45" s="10" t="s">
        <v>147</v>
      </c>
      <c r="E45" s="10" t="s">
        <v>163</v>
      </c>
      <c r="F45" s="10">
        <v>108</v>
      </c>
      <c r="G45" s="10">
        <v>3</v>
      </c>
      <c r="H45" s="36"/>
      <c r="I45" s="33">
        <v>3.97</v>
      </c>
      <c r="J45" s="36"/>
      <c r="K45" s="34">
        <v>20.9</v>
      </c>
      <c r="L45" s="34">
        <v>14.72</v>
      </c>
      <c r="M45" s="34">
        <v>13.54</v>
      </c>
    </row>
    <row r="46" spans="1:27" x14ac:dyDescent="0.2">
      <c r="A46" s="32"/>
      <c r="B46" s="10" t="s">
        <v>145</v>
      </c>
      <c r="C46" s="10" t="s">
        <v>151</v>
      </c>
      <c r="D46" s="10" t="s">
        <v>152</v>
      </c>
      <c r="E46" s="10" t="s">
        <v>164</v>
      </c>
      <c r="F46" s="10">
        <v>96</v>
      </c>
      <c r="G46" s="10">
        <v>3</v>
      </c>
      <c r="H46" s="36"/>
      <c r="I46" s="34">
        <v>8.23</v>
      </c>
      <c r="J46" s="36"/>
      <c r="K46" s="34">
        <v>4.92</v>
      </c>
      <c r="L46" s="34">
        <v>5.93</v>
      </c>
      <c r="M46" s="33">
        <v>4.87</v>
      </c>
    </row>
    <row r="47" spans="1:27" x14ac:dyDescent="0.2">
      <c r="A47" s="32"/>
      <c r="B47" s="10" t="s">
        <v>145</v>
      </c>
      <c r="C47" s="10" t="s">
        <v>153</v>
      </c>
      <c r="D47" s="10" t="s">
        <v>154</v>
      </c>
      <c r="E47" s="10" t="s">
        <v>165</v>
      </c>
      <c r="F47" s="10">
        <v>84</v>
      </c>
      <c r="G47" s="10">
        <v>3</v>
      </c>
      <c r="H47" s="36"/>
      <c r="I47" s="34">
        <v>11.37</v>
      </c>
      <c r="J47" s="36"/>
      <c r="K47" s="34">
        <v>10.87</v>
      </c>
      <c r="L47" s="33">
        <v>6.71</v>
      </c>
      <c r="M47" s="34">
        <v>6.71</v>
      </c>
    </row>
    <row r="48" spans="1:27" x14ac:dyDescent="0.2">
      <c r="A48" s="32"/>
      <c r="B48" s="10" t="s">
        <v>145</v>
      </c>
      <c r="C48" s="10" t="s">
        <v>155</v>
      </c>
      <c r="D48" s="10" t="s">
        <v>156</v>
      </c>
      <c r="E48" s="10" t="s">
        <v>166</v>
      </c>
      <c r="F48" s="10">
        <v>72</v>
      </c>
      <c r="G48" s="10">
        <v>3</v>
      </c>
      <c r="H48" s="36"/>
      <c r="I48" s="34">
        <v>18.57</v>
      </c>
      <c r="J48" s="36"/>
      <c r="K48" s="34">
        <v>10.84</v>
      </c>
      <c r="L48" s="33">
        <v>9.99</v>
      </c>
      <c r="M48" s="34">
        <v>11.51</v>
      </c>
    </row>
    <row r="49" spans="1:13" x14ac:dyDescent="0.2">
      <c r="A49" s="32" t="s">
        <v>127</v>
      </c>
      <c r="B49" s="10" t="s">
        <v>145</v>
      </c>
      <c r="C49" s="10" t="s">
        <v>146</v>
      </c>
      <c r="D49" s="10" t="s">
        <v>147</v>
      </c>
      <c r="E49" s="10" t="s">
        <v>163</v>
      </c>
      <c r="F49" s="10">
        <v>108</v>
      </c>
      <c r="G49" s="10">
        <v>3</v>
      </c>
      <c r="H49" s="36"/>
      <c r="I49" s="33">
        <v>2.84</v>
      </c>
      <c r="J49" s="36"/>
      <c r="K49" s="34">
        <v>24.09</v>
      </c>
      <c r="L49" s="34">
        <v>15.54</v>
      </c>
      <c r="M49" s="34">
        <v>15.5</v>
      </c>
    </row>
    <row r="50" spans="1:13" x14ac:dyDescent="0.2">
      <c r="A50" s="32"/>
      <c r="B50" s="10" t="s">
        <v>145</v>
      </c>
      <c r="C50" s="10" t="s">
        <v>151</v>
      </c>
      <c r="D50" s="10" t="s">
        <v>152</v>
      </c>
      <c r="E50" s="10" t="s">
        <v>164</v>
      </c>
      <c r="F50" s="10">
        <v>96</v>
      </c>
      <c r="G50" s="10">
        <v>3</v>
      </c>
      <c r="H50" s="36"/>
      <c r="I50" s="34">
        <v>8.33</v>
      </c>
      <c r="J50" s="36"/>
      <c r="K50" s="33">
        <v>4.33</v>
      </c>
      <c r="L50" s="34">
        <v>6.08</v>
      </c>
      <c r="M50" s="34">
        <v>4.96</v>
      </c>
    </row>
    <row r="51" spans="1:13" x14ac:dyDescent="0.2">
      <c r="A51" s="32"/>
      <c r="B51" s="10" t="s">
        <v>145</v>
      </c>
      <c r="C51" s="10" t="s">
        <v>153</v>
      </c>
      <c r="D51" s="10" t="s">
        <v>154</v>
      </c>
      <c r="E51" s="10" t="s">
        <v>165</v>
      </c>
      <c r="F51" s="10">
        <v>84</v>
      </c>
      <c r="G51" s="10">
        <v>3</v>
      </c>
      <c r="H51" s="36"/>
      <c r="I51" s="34">
        <v>21.51</v>
      </c>
      <c r="J51" s="36"/>
      <c r="K51" s="34">
        <v>10.31</v>
      </c>
      <c r="L51" s="33">
        <v>6.6</v>
      </c>
      <c r="M51" s="34">
        <v>6.6</v>
      </c>
    </row>
    <row r="52" spans="1:13" x14ac:dyDescent="0.2">
      <c r="A52" s="32"/>
      <c r="B52" s="10" t="s">
        <v>145</v>
      </c>
      <c r="C52" s="10" t="s">
        <v>155</v>
      </c>
      <c r="D52" s="10" t="s">
        <v>156</v>
      </c>
      <c r="E52" s="10" t="s">
        <v>166</v>
      </c>
      <c r="F52" s="10">
        <v>72</v>
      </c>
      <c r="G52" s="10">
        <v>3</v>
      </c>
      <c r="H52" s="36"/>
      <c r="I52" s="34">
        <v>13.34</v>
      </c>
      <c r="J52" s="36"/>
      <c r="K52" s="33">
        <v>7.84</v>
      </c>
      <c r="L52" s="34">
        <v>9.0299999999999994</v>
      </c>
      <c r="M52" s="34">
        <v>8.91</v>
      </c>
    </row>
    <row r="53" spans="1:13" x14ac:dyDescent="0.2">
      <c r="A53" s="32" t="s">
        <v>129</v>
      </c>
      <c r="B53" s="10" t="s">
        <v>145</v>
      </c>
      <c r="C53" s="10" t="s">
        <v>146</v>
      </c>
      <c r="D53" s="10" t="s">
        <v>147</v>
      </c>
      <c r="E53" s="10" t="s">
        <v>163</v>
      </c>
      <c r="F53" s="10">
        <v>108</v>
      </c>
      <c r="G53" s="10">
        <v>3</v>
      </c>
      <c r="H53" s="36"/>
      <c r="I53" s="33">
        <v>1.6</v>
      </c>
      <c r="J53" s="36"/>
      <c r="K53" s="34">
        <v>18.72</v>
      </c>
      <c r="L53" s="34">
        <v>15.73</v>
      </c>
      <c r="M53" s="34">
        <v>13.85</v>
      </c>
    </row>
    <row r="54" spans="1:13" x14ac:dyDescent="0.2">
      <c r="A54" s="32"/>
      <c r="B54" s="10" t="s">
        <v>145</v>
      </c>
      <c r="C54" s="10" t="s">
        <v>151</v>
      </c>
      <c r="D54" s="10" t="s">
        <v>152</v>
      </c>
      <c r="E54" s="10" t="s">
        <v>164</v>
      </c>
      <c r="F54" s="10">
        <v>96</v>
      </c>
      <c r="G54" s="10">
        <v>3</v>
      </c>
      <c r="H54" s="36"/>
      <c r="I54" s="34">
        <v>7.99</v>
      </c>
      <c r="J54" s="36"/>
      <c r="K54" s="33">
        <v>4.88</v>
      </c>
      <c r="L54" s="34">
        <v>5.55</v>
      </c>
      <c r="M54" s="34">
        <v>5.48</v>
      </c>
    </row>
    <row r="55" spans="1:13" x14ac:dyDescent="0.2">
      <c r="A55" s="32"/>
      <c r="B55" s="10" t="s">
        <v>145</v>
      </c>
      <c r="C55" s="10" t="s">
        <v>153</v>
      </c>
      <c r="D55" s="10" t="s">
        <v>154</v>
      </c>
      <c r="E55" s="10" t="s">
        <v>165</v>
      </c>
      <c r="F55" s="10">
        <v>84</v>
      </c>
      <c r="G55" s="10">
        <v>3</v>
      </c>
      <c r="H55" s="36"/>
      <c r="I55" s="34">
        <v>13.66</v>
      </c>
      <c r="J55" s="36"/>
      <c r="K55" s="34">
        <v>11.14</v>
      </c>
      <c r="L55" s="33">
        <v>6.82</v>
      </c>
      <c r="M55" s="34">
        <v>6.82</v>
      </c>
    </row>
    <row r="56" spans="1:13" x14ac:dyDescent="0.2">
      <c r="A56" s="32"/>
      <c r="B56" s="10" t="s">
        <v>145</v>
      </c>
      <c r="C56" s="10" t="s">
        <v>155</v>
      </c>
      <c r="D56" s="10" t="s">
        <v>156</v>
      </c>
      <c r="E56" s="10" t="s">
        <v>166</v>
      </c>
      <c r="F56" s="10">
        <v>72</v>
      </c>
      <c r="G56" s="10">
        <v>3</v>
      </c>
      <c r="H56" s="36"/>
      <c r="I56" s="34">
        <v>23.91</v>
      </c>
      <c r="J56" s="36"/>
      <c r="K56" s="33">
        <v>8.92</v>
      </c>
      <c r="L56" s="34">
        <v>9.9499999999999993</v>
      </c>
      <c r="M56" s="34">
        <v>10.59</v>
      </c>
    </row>
    <row r="57" spans="1:13" x14ac:dyDescent="0.2">
      <c r="A57" s="32" t="s">
        <v>130</v>
      </c>
      <c r="B57" s="10" t="s">
        <v>145</v>
      </c>
      <c r="C57" s="10" t="s">
        <v>146</v>
      </c>
      <c r="D57" s="10" t="s">
        <v>147</v>
      </c>
      <c r="E57" s="10" t="s">
        <v>163</v>
      </c>
      <c r="F57" s="10">
        <v>108</v>
      </c>
      <c r="G57" s="10">
        <v>3</v>
      </c>
      <c r="H57" s="36"/>
      <c r="I57" s="33">
        <v>4.09</v>
      </c>
      <c r="J57" s="36"/>
      <c r="K57" s="34">
        <v>23.65</v>
      </c>
      <c r="L57" s="34">
        <v>14.74</v>
      </c>
      <c r="M57" s="34">
        <v>14.58</v>
      </c>
    </row>
    <row r="58" spans="1:13" x14ac:dyDescent="0.2">
      <c r="A58" s="32"/>
      <c r="B58" s="10" t="s">
        <v>145</v>
      </c>
      <c r="C58" s="10" t="s">
        <v>151</v>
      </c>
      <c r="D58" s="10" t="s">
        <v>152</v>
      </c>
      <c r="E58" s="10" t="s">
        <v>164</v>
      </c>
      <c r="F58" s="10">
        <v>96</v>
      </c>
      <c r="G58" s="10">
        <v>3</v>
      </c>
      <c r="H58" s="36"/>
      <c r="I58" s="34">
        <v>7.9</v>
      </c>
      <c r="J58" s="36"/>
      <c r="K58" s="33">
        <v>4.46</v>
      </c>
      <c r="L58" s="34">
        <v>6.68</v>
      </c>
      <c r="M58" s="34">
        <v>4.8600000000000003</v>
      </c>
    </row>
    <row r="59" spans="1:13" x14ac:dyDescent="0.2">
      <c r="A59" s="32"/>
      <c r="B59" s="10" t="s">
        <v>145</v>
      </c>
      <c r="C59" s="10" t="s">
        <v>153</v>
      </c>
      <c r="D59" s="10" t="s">
        <v>154</v>
      </c>
      <c r="E59" s="10" t="s">
        <v>165</v>
      </c>
      <c r="F59" s="10">
        <v>84</v>
      </c>
      <c r="G59" s="10">
        <v>3</v>
      </c>
      <c r="H59" s="36"/>
      <c r="I59" s="34">
        <v>11.6</v>
      </c>
      <c r="J59" s="36"/>
      <c r="K59" s="34">
        <v>11.07</v>
      </c>
      <c r="L59" s="33">
        <v>6.86</v>
      </c>
      <c r="M59" s="34">
        <v>6.86</v>
      </c>
    </row>
    <row r="60" spans="1:13" x14ac:dyDescent="0.2">
      <c r="A60" s="32"/>
      <c r="B60" s="10" t="s">
        <v>145</v>
      </c>
      <c r="C60" s="10" t="s">
        <v>155</v>
      </c>
      <c r="D60" s="10" t="s">
        <v>156</v>
      </c>
      <c r="E60" s="10" t="s">
        <v>166</v>
      </c>
      <c r="F60" s="10">
        <v>72</v>
      </c>
      <c r="G60" s="10">
        <v>3</v>
      </c>
      <c r="H60" s="36"/>
      <c r="I60" s="34">
        <v>20.149999999999999</v>
      </c>
      <c r="J60" s="36"/>
      <c r="K60" s="33">
        <v>9.2799999999999994</v>
      </c>
      <c r="L60" s="34">
        <v>10.44</v>
      </c>
      <c r="M60" s="34">
        <v>11.05</v>
      </c>
    </row>
    <row r="61" spans="1:13" x14ac:dyDescent="0.2">
      <c r="A61" s="32" t="s">
        <v>131</v>
      </c>
      <c r="B61" s="10" t="s">
        <v>145</v>
      </c>
      <c r="C61" s="10" t="s">
        <v>146</v>
      </c>
      <c r="D61" s="10" t="s">
        <v>147</v>
      </c>
      <c r="E61" s="10" t="s">
        <v>163</v>
      </c>
      <c r="F61" s="10">
        <v>108</v>
      </c>
      <c r="G61" s="10">
        <v>3</v>
      </c>
      <c r="H61" s="36"/>
      <c r="I61" s="33">
        <v>1.63</v>
      </c>
      <c r="J61" s="36"/>
      <c r="K61" s="34">
        <v>23.98</v>
      </c>
      <c r="L61" s="34">
        <v>14.64</v>
      </c>
      <c r="M61" s="34">
        <v>14.51</v>
      </c>
    </row>
    <row r="62" spans="1:13" x14ac:dyDescent="0.2">
      <c r="A62" s="32"/>
      <c r="B62" s="10" t="s">
        <v>145</v>
      </c>
      <c r="C62" s="10" t="s">
        <v>151</v>
      </c>
      <c r="D62" s="10" t="s">
        <v>152</v>
      </c>
      <c r="E62" s="10" t="s">
        <v>164</v>
      </c>
      <c r="F62" s="10">
        <v>96</v>
      </c>
      <c r="G62" s="10">
        <v>3</v>
      </c>
      <c r="H62" s="36"/>
      <c r="I62" s="34">
        <v>7.81</v>
      </c>
      <c r="J62" s="36"/>
      <c r="K62" s="34">
        <v>4.97</v>
      </c>
      <c r="L62" s="34">
        <v>6.03</v>
      </c>
      <c r="M62" s="33">
        <v>4.8899999999999997</v>
      </c>
    </row>
    <row r="63" spans="1:13" x14ac:dyDescent="0.2">
      <c r="A63" s="32"/>
      <c r="B63" s="10" t="s">
        <v>145</v>
      </c>
      <c r="C63" s="10" t="s">
        <v>153</v>
      </c>
      <c r="D63" s="10" t="s">
        <v>154</v>
      </c>
      <c r="E63" s="10" t="s">
        <v>165</v>
      </c>
      <c r="F63" s="10">
        <v>84</v>
      </c>
      <c r="G63" s="10">
        <v>3</v>
      </c>
      <c r="H63" s="36"/>
      <c r="I63" s="34">
        <v>13.37</v>
      </c>
      <c r="J63" s="36"/>
      <c r="K63" s="34">
        <v>9.77</v>
      </c>
      <c r="L63" s="33">
        <v>7.27</v>
      </c>
      <c r="M63" s="34">
        <v>7.88</v>
      </c>
    </row>
    <row r="64" spans="1:13" x14ac:dyDescent="0.2">
      <c r="A64" s="32"/>
      <c r="B64" s="10" t="s">
        <v>145</v>
      </c>
      <c r="C64" s="10" t="s">
        <v>155</v>
      </c>
      <c r="D64" s="10" t="s">
        <v>156</v>
      </c>
      <c r="E64" s="10" t="s">
        <v>166</v>
      </c>
      <c r="F64" s="10">
        <v>72</v>
      </c>
      <c r="G64" s="10">
        <v>3</v>
      </c>
      <c r="H64" s="36"/>
      <c r="I64" s="34">
        <v>16.98</v>
      </c>
      <c r="J64" s="36"/>
      <c r="K64" s="34">
        <v>11.89</v>
      </c>
      <c r="L64" s="33">
        <v>11.03</v>
      </c>
      <c r="M64" s="34">
        <v>12.09</v>
      </c>
    </row>
    <row r="65" spans="1:7" x14ac:dyDescent="0.2">
      <c r="G65" s="10"/>
    </row>
    <row r="70" spans="1:7" x14ac:dyDescent="0.2">
      <c r="A70" t="s">
        <v>167</v>
      </c>
    </row>
    <row r="72" spans="1:7" ht="187" x14ac:dyDescent="0.2">
      <c r="A72" s="5" t="s">
        <v>168</v>
      </c>
    </row>
  </sheetData>
  <mergeCells count="38">
    <mergeCell ref="A61:A64"/>
    <mergeCell ref="A37:A40"/>
    <mergeCell ref="A41:A44"/>
    <mergeCell ref="A45:A48"/>
    <mergeCell ref="A49:A52"/>
    <mergeCell ref="A53:A56"/>
    <mergeCell ref="A57:A60"/>
    <mergeCell ref="B35:E35"/>
    <mergeCell ref="F35:G35"/>
    <mergeCell ref="H35:K35"/>
    <mergeCell ref="B36:C36"/>
    <mergeCell ref="D36:E36"/>
    <mergeCell ref="O11:O14"/>
    <mergeCell ref="O15:O18"/>
    <mergeCell ref="O19:O22"/>
    <mergeCell ref="O23:O26"/>
    <mergeCell ref="O27:O30"/>
    <mergeCell ref="O31:O34"/>
    <mergeCell ref="A27:A30"/>
    <mergeCell ref="A31:A34"/>
    <mergeCell ref="P1:S1"/>
    <mergeCell ref="T1:U1"/>
    <mergeCell ref="V1:Y1"/>
    <mergeCell ref="P2:Q2"/>
    <mergeCell ref="R2:S2"/>
    <mergeCell ref="O3:O6"/>
    <mergeCell ref="O7:O10"/>
    <mergeCell ref="A3:A6"/>
    <mergeCell ref="A7:A10"/>
    <mergeCell ref="A11:A14"/>
    <mergeCell ref="A15:A18"/>
    <mergeCell ref="A19:A22"/>
    <mergeCell ref="A23:A26"/>
    <mergeCell ref="B1:E1"/>
    <mergeCell ref="F1:G1"/>
    <mergeCell ref="H1:K1"/>
    <mergeCell ref="B2:C2"/>
    <mergeCell ref="D2:E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July 13</vt:lpstr>
      <vt:lpstr>July 20</vt:lpstr>
      <vt:lpstr>July 27</vt:lpstr>
      <vt:lpstr>July 29</vt:lpstr>
      <vt:lpstr>July 29 (report)</vt:lpstr>
      <vt:lpstr>August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 Starks</dc:creator>
  <cp:lastModifiedBy>Chika Starks</cp:lastModifiedBy>
  <dcterms:created xsi:type="dcterms:W3CDTF">2025-07-12T16:45:44Z</dcterms:created>
  <dcterms:modified xsi:type="dcterms:W3CDTF">2025-08-03T18:10:05Z</dcterms:modified>
</cp:coreProperties>
</file>