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icoleal-sabah/Library/CloudStorage/GoogleDrive-nalsabah@csumb.edu/My Drive/CST489:499 Capstone/DKODE Capstone Project/"/>
    </mc:Choice>
  </mc:AlternateContent>
  <xr:revisionPtr revIDLastSave="0" documentId="13_ncr:1_{1EF2F793-7BFC-E746-AF34-8B99654215F9}" xr6:coauthVersionLast="47" xr6:coauthVersionMax="47" xr10:uidLastSave="{00000000-0000-0000-0000-000000000000}"/>
  <bookViews>
    <workbookView xWindow="1300" yWindow="1420" windowWidth="27500" windowHeight="14680" xr2:uid="{00000000-000D-0000-FFFF-FFFF00000000}"/>
  </bookViews>
  <sheets>
    <sheet name="Summary (6 Months)" sheetId="1" r:id="rId1"/>
    <sheet name="Summary (12 Months)" sheetId="20" r:id="rId2"/>
    <sheet name="6 Months vs 12 Months Results" sheetId="2" r:id="rId3"/>
    <sheet name="6 Months vs 12 Months Forecast" sheetId="19" r:id="rId4"/>
    <sheet name="extra_tree (6 Months) " sheetId="21" r:id="rId5"/>
    <sheet name="extra_tree (12 Months)" sheetId="3" r:id="rId6"/>
    <sheet name="2025 Forecast vs Actual Qty" sheetId="22" r:id="rId7"/>
    <sheet name="MAPE Testing" sheetId="2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2" l="1"/>
  <c r="G3" i="22"/>
  <c r="G4" i="22"/>
  <c r="G5" i="22"/>
  <c r="G6" i="22"/>
  <c r="G7" i="22"/>
  <c r="G2" i="22"/>
  <c r="F3" i="22"/>
  <c r="F4" i="22"/>
  <c r="F5" i="22"/>
  <c r="F7" i="22"/>
  <c r="F2" i="22"/>
  <c r="G3" i="19"/>
  <c r="G4" i="19"/>
  <c r="G5" i="19"/>
  <c r="G6" i="19"/>
  <c r="G7" i="19"/>
  <c r="G2" i="19"/>
</calcChain>
</file>

<file path=xl/sharedStrings.xml><?xml version="1.0" encoding="utf-8"?>
<sst xmlns="http://schemas.openxmlformats.org/spreadsheetml/2006/main" count="146" uniqueCount="97">
  <si>
    <t>Experiment:</t>
  </si>
  <si>
    <t>Forecast_CombinedSalesEconomicData_v1_NA</t>
  </si>
  <si>
    <t>Notebook:</t>
  </si>
  <si>
    <t>Model:</t>
  </si>
  <si>
    <t>Predictions Table:</t>
  </si>
  <si>
    <t>combined_sales_economic_data_for_forecasting_na_predictions</t>
  </si>
  <si>
    <t xml:space="preserve">Dataset Used: </t>
  </si>
  <si>
    <t>combined_sales_economic_data.csv</t>
  </si>
  <si>
    <t xml:space="preserve">Table Used: </t>
  </si>
  <si>
    <t>combined_sales_economic_data_for_forecasting_na</t>
  </si>
  <si>
    <t>Date Range for Data:</t>
  </si>
  <si>
    <t>01-01-2015 to 12-01-2024</t>
  </si>
  <si>
    <t>Forecast Horizon:</t>
  </si>
  <si>
    <t>12 Months</t>
  </si>
  <si>
    <t xml:space="preserve">Prediction Frequency: </t>
  </si>
  <si>
    <t>Monthly</t>
  </si>
  <si>
    <t>Runtime Duration:</t>
  </si>
  <si>
    <t>Approximately 2 Hours</t>
  </si>
  <si>
    <t>Extremely Randomized Trees</t>
  </si>
  <si>
    <t>Formal Name</t>
  </si>
  <si>
    <t>AutoML Name</t>
  </si>
  <si>
    <t>Validation Loss</t>
  </si>
  <si>
    <t>MAPE</t>
  </si>
  <si>
    <t>Trial Time</t>
  </si>
  <si>
    <t>Result Summary</t>
  </si>
  <si>
    <t>extra_tree</t>
  </si>
  <si>
    <t>Excellent performance</t>
  </si>
  <si>
    <t>Date (12 months)</t>
  </si>
  <si>
    <t>2.634287e+07  </t>
  </si>
  <si>
    <t>2.501156e+07  </t>
  </si>
  <si>
    <t>2.939525e+07  </t>
  </si>
  <si>
    <t>2.680381e+07  </t>
  </si>
  <si>
    <t>2.500921e+07  </t>
  </si>
  <si>
    <t>2.905543e+07  </t>
  </si>
  <si>
    <t>2.889097e+07  </t>
  </si>
  <si>
    <t>2.831704e+07  </t>
  </si>
  <si>
    <t>2.576273e+07  </t>
  </si>
  <si>
    <t>2.816089e+07  </t>
  </si>
  <si>
    <t>2.773917e+07  </t>
  </si>
  <si>
    <t>best_validation_loss</t>
  </si>
  <si>
    <t>R² Score</t>
  </si>
  <si>
    <t>mape</t>
  </si>
  <si>
    <t>trial_time</t>
  </si>
  <si>
    <t>validation_loss</t>
  </si>
  <si>
    <t>wall_clock_time</t>
  </si>
  <si>
    <t>n_estimators</t>
  </si>
  <si>
    <t>max_features</t>
  </si>
  <si>
    <t>max_leaves</t>
  </si>
  <si>
    <t>lags</t>
  </si>
  <si>
    <t>monthly_fourier_degree</t>
  </si>
  <si>
    <t>fourier_time_features</t>
  </si>
  <si>
    <t>pca_features</t>
  </si>
  <si>
    <t>learner</t>
  </si>
  <si>
    <t>fe.selection</t>
  </si>
  <si>
    <t>fe.categorical</t>
  </si>
  <si>
    <t>fe.extraction</t>
  </si>
  <si>
    <t>best_learner</t>
  </si>
  <si>
    <t>sample_size</t>
  </si>
  <si>
    <t>variance</t>
  </si>
  <si>
    <t>ordinal</t>
  </si>
  <si>
    <t>PCA</t>
  </si>
  <si>
    <t>Forecast_CombinedSalesEconomicData_6_Months_v2_NA</t>
  </si>
  <si>
    <t>combined_sales_economic_data_for_forecasting_na_6_months_predictions</t>
  </si>
  <si>
    <t>6 Months</t>
  </si>
  <si>
    <t>Extremely Randomized Trees (extra_trees)</t>
  </si>
  <si>
    <t>Model Successfully Run:</t>
  </si>
  <si>
    <t>Extremely Randomized Trees (12 Months)</t>
  </si>
  <si>
    <t>Extremely Randomized Trees (6 Months)</t>
  </si>
  <si>
    <t>Date (6 months)</t>
  </si>
  <si>
    <t>Forecasting Experiment Summary (12 Months)</t>
  </si>
  <si>
    <t>Forecasted_Quantity (6 Months)</t>
  </si>
  <si>
    <t>Raw Prediction Numbers (6 Months)</t>
  </si>
  <si>
    <t>Forecasted_Quantity (12 Months)</t>
  </si>
  <si>
    <t>Raw Prediction Numbers (12 Months)</t>
  </si>
  <si>
    <t xml:space="preserve">    Forecasting Experiment Summary (6 Months)</t>
  </si>
  <si>
    <t>6M vs 12M Prediction % Change</t>
  </si>
  <si>
    <t>Forecasted Qty (12 Months)</t>
  </si>
  <si>
    <t>Forecasted Qty (6 Months)</t>
  </si>
  <si>
    <t>Actual Qty</t>
  </si>
  <si>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</si>
  <si>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</si>
  <si>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</si>
  <si>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</si>
  <si>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</si>
  <si>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</si>
  <si>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</si>
  <si>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</si>
  <si>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</si>
  <si>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</si>
  <si>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</si>
  <si>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</si>
  <si>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</si>
  <si>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</si>
  <si>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6M vs Actual Prediction % Change</t>
  </si>
  <si>
    <t>12M vs Actual Prediction % Change</t>
  </si>
  <si>
    <t>R2 Score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</si>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</sst>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9" formatCode="0.000000E+00"/>
  </numFmts>
  <fonts count="14" x14ac:knownFonts="1">
    <font>
      <sz val="11"/>
      <color theme="1"/>
      <name val="Calibri"/>
      <family val="2"/>
      <scheme val="minor"/>
    </font>
    <font>
      <b/>
      <sz val="14"/>
      <name val="Calibri (Body)"/>
    </font>
    <font>
      <sz val="14"/>
      <color theme="1"/>
      <name val="Calibri (Body)"/>
    </font>
    <font>
      <b/>
      <sz val="14"/>
      <color theme="1"/>
      <name val="Calibri (Body)"/>
    </font>
    <font>
      <b/>
      <sz val="20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2" fillId="0" borderId="2" xfId="0" applyFont="1" applyBorder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9" fontId="6" fillId="0" borderId="1" xfId="0" applyNumberFormat="1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164" fontId="6" fillId="0" borderId="5" xfId="0" applyNumberFormat="1" applyFont="1" applyBorder="1" applyAlignment="1">
      <alignment horizontal="left" vertical="center"/>
    </xf>
    <xf numFmtId="164" fontId="6" fillId="0" borderId="6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169" fontId="6" fillId="0" borderId="6" xfId="0" applyNumberFormat="1" applyFont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10" fontId="6" fillId="0" borderId="1" xfId="0" applyNumberFormat="1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11" fontId="6" fillId="0" borderId="15" xfId="0" applyNumberFormat="1" applyFont="1" applyBorder="1" applyAlignment="1">
      <alignment horizontal="left" vertical="center"/>
    </xf>
    <xf numFmtId="10" fontId="6" fillId="0" borderId="6" xfId="0" applyNumberFormat="1" applyFont="1" applyBorder="1" applyAlignment="1">
      <alignment horizontal="left" vertical="center"/>
    </xf>
    <xf numFmtId="10" fontId="6" fillId="6" borderId="6" xfId="0" applyNumberFormat="1" applyFont="1" applyFill="1" applyBorder="1" applyAlignment="1">
      <alignment horizontal="left" vertical="center"/>
    </xf>
    <xf numFmtId="10" fontId="6" fillId="6" borderId="16" xfId="0" applyNumberFormat="1" applyFont="1" applyFill="1" applyBorder="1" applyAlignment="1">
      <alignment horizontal="left" vertical="center"/>
    </xf>
    <xf numFmtId="10" fontId="6" fillId="6" borderId="2" xfId="0" applyNumberFormat="1" applyFont="1" applyFill="1" applyBorder="1" applyAlignment="1">
      <alignment horizontal="left" vertical="center"/>
    </xf>
    <xf numFmtId="0" fontId="0" fillId="6" borderId="8" xfId="0" applyFill="1" applyBorder="1"/>
    <xf numFmtId="0" fontId="0" fillId="6" borderId="9" xfId="0" applyFill="1" applyBorder="1"/>
    <xf numFmtId="0" fontId="0" fillId="6" borderId="0" xfId="0" applyFill="1" applyBorder="1"/>
    <xf numFmtId="0" fontId="0" fillId="6" borderId="11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7" xfId="0" applyFill="1" applyBorder="1"/>
    <xf numFmtId="0" fontId="0" fillId="6" borderId="10" xfId="0" applyFill="1" applyBorder="1"/>
    <xf numFmtId="0" fontId="0" fillId="6" borderId="12" xfId="0" applyFill="1" applyBorder="1"/>
    <xf numFmtId="0" fontId="6" fillId="6" borderId="6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/>
    </xf>
    <xf numFmtId="0" fontId="2" fillId="6" borderId="16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3" fontId="6" fillId="0" borderId="6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16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10" fontId="12" fillId="0" borderId="1" xfId="0" applyNumberFormat="1" applyFont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Model Validation Loss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Months vs 12 Months Results'!$C$1</c:f>
              <c:strCache>
                <c:ptCount val="1"/>
                <c:pt idx="0">
                  <c:v>Validation Loss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'6 Months vs 12 Months Results'!$A$2:$A$3</c:f>
              <c:strCache>
                <c:ptCount val="2"/>
                <c:pt idx="0">
                  <c:v>Extremely Randomized Trees (6 Months)</c:v>
                </c:pt>
                <c:pt idx="1">
                  <c:v>Extremely Randomized Trees (12 Months)</c:v>
                </c:pt>
              </c:strCache>
            </c:strRef>
          </c:cat>
          <c:val>
            <c:numRef>
              <c:f>'6 Months vs 12 Months Results'!$C$2:$C$3</c:f>
              <c:numCache>
                <c:formatCode>General</c:formatCode>
                <c:ptCount val="2"/>
                <c:pt idx="0">
                  <c:v>9.1741306271886605E-2</c:v>
                </c:pt>
                <c:pt idx="1">
                  <c:v>8.6831164936618604E-2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B-2A4F-8DF8-56F15AB39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Validation 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6-Months vs 12 Months Forecast (extra_trees)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 Months vs 12 Months Forecast'!$B$1</c:f>
              <c:strCache>
                <c:ptCount val="1"/>
                <c:pt idx="0">
                  <c:v>Forecasted_Quantity (6 Months)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 Months vs 12 Months Forecast'!$A$2:$A$7</c:f>
              <c:numCache>
                <c:formatCode>yyyy\-mm\-dd\ hh:mm:ss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'6 Months vs 12 Months Forecast'!$B$2:$B$7</c:f>
              <c:numCache>
                <c:formatCode>General</c:formatCode>
                <c:ptCount val="6"/>
                <c:pt idx="0">
                  <c:v>26456130</c:v>
                </c:pt>
                <c:pt idx="1">
                  <c:v>23649630</c:v>
                </c:pt>
                <c:pt idx="2">
                  <c:v>23830920</c:v>
                </c:pt>
                <c:pt idx="3">
                  <c:v>22779200</c:v>
                </c:pt>
                <c:pt idx="4">
                  <c:v>25118280</c:v>
                </c:pt>
                <c:pt idx="5">
                  <c:v>27141610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A-C640-8E00-CD950BCC4308}"/>
            </c:ext>
          </c:extLst>
        </c:ser>
        <c:ser>
          <c:idx val="1"/>
          <c:order val="1"/>
          <c:tx>
            <c:strRef>
              <c:f>'6 Months vs 12 Months Forecast'!$E$1</c:f>
              <c:strCache>
                <c:ptCount val="1"/>
                <c:pt idx="0">
                  <c:v>Forecasted_Quantity (12 Months)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'6 Months vs 12 Months Forecast'!$A$2:$A$7</c:f>
              <c:numCache>
                <c:formatCode>yyyy\-mm\-dd\ hh:mm:ss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'6 Months vs 12 Months Forecast'!$E$2:$E$7</c:f>
              <c:numCache>
                <c:formatCode>General</c:formatCode>
                <c:ptCount val="6"/>
                <c:pt idx="0">
                  <c:v>26342870</c:v>
                </c:pt>
                <c:pt idx="1">
                  <c:v>25011560</c:v>
                </c:pt>
                <c:pt idx="2">
                  <c:v>29395250</c:v>
                </c:pt>
                <c:pt idx="3">
                  <c:v>26803810</c:v>
                </c:pt>
                <c:pt idx="4">
                  <c:v>25009210</c:v>
                </c:pt>
                <c:pt idx="5">
                  <c:v>29055430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A-C640-8E00-CD950BCC4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365808"/>
        <c:axId val="1077860336"/>
      </c:lineChart>
      <c:dateAx>
        <c:axId val="1077365808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60336"/>
        <c:crosses val="autoZero"/>
        <c:auto val="1"/>
        <c:lblOffset val="100"/>
        <c:baseTimeUnit val="months"/>
      </c:dateAx>
      <c:valAx>
        <c:axId val="107786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6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Months vs 12 Months Forecast'!$G$1</c:f>
              <c:strCache>
                <c:ptCount val="1"/>
                <c:pt idx="0">
                  <c:v>6M vs 12M Prediction %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 Months vs 12 Months Forecast'!$A$2:$A$7</c:f>
              <c:numCache>
                <c:formatCode>yyyy\-mm\-dd\ hh:mm:ss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'6 Months vs 12 Months Forecast'!$G$2:$G$7</c:f>
              <c:numCache>
                <c:formatCode>0.00%</c:formatCode>
                <c:ptCount val="6"/>
                <c:pt idx="0">
                  <c:v>4.2994556022179818E-3</c:v>
                </c:pt>
                <c:pt idx="1">
                  <c:v>-5.4452021385311432E-2</c:v>
                </c:pt>
                <c:pt idx="2">
                  <c:v>-0.18929350830491321</c:v>
                </c:pt>
                <c:pt idx="3">
                  <c:v>-0.15015066887879</c:v>
                </c:pt>
                <c:pt idx="4">
                  <c:v>4.3611933363748795E-3</c:v>
                </c:pt>
                <c:pt idx="5">
                  <c:v>-6.586789457254634E-2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5-9D4F-8474-633FC8707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384944"/>
        <c:axId val="1077386656"/>
      </c:barChart>
      <c:dateAx>
        <c:axId val="1077384944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86656"/>
        <c:crosses val="autoZero"/>
        <c:auto val="1"/>
        <c:lblOffset val="100"/>
        <c:baseTimeUnit val="months"/>
      </c:dateAx>
      <c:valAx>
        <c:axId val="10773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8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2025 6M</a:t>
            </a:r>
            <a:r>
              <a:rPr lang="en-US" sz="1600" b="1" baseline="0"/>
              <a:t> vs 12M vs Actual Quantity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 Forecast vs Actual Qty'!$C$1</c:f>
              <c:strCache>
                <c:ptCount val="1"/>
                <c:pt idx="0">
                  <c:v>Forecasted Qty (6 Months)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 Forecast vs Actual Qty'!$B$2:$B$7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'2025 Forecast vs Actual Qty'!$C$2:$C$7</c:f>
              <c:numCache>
                <c:formatCode>#,##0</c:formatCode>
                <c:ptCount val="6"/>
                <c:pt idx="0">
                  <c:v>26456130</c:v>
                </c:pt>
                <c:pt idx="1">
                  <c:v>23649630</c:v>
                </c:pt>
                <c:pt idx="2">
                  <c:v>23830920</c:v>
                </c:pt>
                <c:pt idx="3">
                  <c:v>22779200</c:v>
                </c:pt>
                <c:pt idx="4">
                  <c:v>25118280</c:v>
                </c:pt>
                <c:pt idx="5">
                  <c:v>27141610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8-9B46-B788-5C1331ED071B}"/>
            </c:ext>
          </c:extLst>
        </c:ser>
        <c:ser>
          <c:idx val="1"/>
          <c:order val="1"/>
          <c:tx>
            <c:strRef>
              <c:f>'2025 Forecast vs Actual Qty'!$D$1</c:f>
              <c:strCache>
                <c:ptCount val="1"/>
                <c:pt idx="0">
                  <c:v>Forecasted Qty (12 Months)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 Forecast vs Actual Qty'!$B$2:$B$7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'2025 Forecast vs Actual Qty'!$D$2:$D$7</c:f>
              <c:numCache>
                <c:formatCode>#,##0</c:formatCode>
                <c:ptCount val="6"/>
                <c:pt idx="0">
                  <c:v>26342870</c:v>
                </c:pt>
                <c:pt idx="1">
                  <c:v>25011560</c:v>
                </c:pt>
                <c:pt idx="2">
                  <c:v>29395250</c:v>
                </c:pt>
                <c:pt idx="3">
                  <c:v>26803810</c:v>
                </c:pt>
                <c:pt idx="4">
                  <c:v>25009210</c:v>
                </c:pt>
                <c:pt idx="5">
                  <c:v>29055430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8-9B46-B788-5C1331ED071B}"/>
            </c:ext>
          </c:extLst>
        </c:ser>
        <c:ser>
          <c:idx val="2"/>
          <c:order val="2"/>
          <c:tx>
            <c:strRef>
              <c:f>'2025 Forecast vs Actual Qty'!$E$1</c:f>
              <c:strCache>
                <c:ptCount val="1"/>
                <c:pt idx="0">
                  <c:v>Actual Qty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 Forecast vs Actual Qty'!$B$2:$B$7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'2025 Forecast vs Actual Qty'!$E$2:$E$7</c:f>
              <c:numCache>
                <c:formatCode>#,##0</c:formatCode>
                <c:ptCount val="6"/>
                <c:pt idx="0">
                  <c:v>25104547</c:v>
                </c:pt>
                <c:pt idx="1">
                  <c:v>28179356</c:v>
                </c:pt>
                <c:pt idx="2">
                  <c:v>23178269</c:v>
                </c:pt>
                <c:pt idx="3">
                  <c:v>23848777</c:v>
                </c:pt>
                <c:pt idx="4">
                  <c:v>22091534</c:v>
                </c:pt>
                <c:pt idx="5">
                  <c:v>23032417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8-9B46-B788-5C1331ED0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483968"/>
        <c:axId val="1922485680"/>
      </c:barChart>
      <c:catAx>
        <c:axId val="19224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85680"/>
        <c:crosses val="autoZero"/>
        <c:auto val="1"/>
        <c:lblAlgn val="ctr"/>
        <c:lblOffset val="100"/>
        <c:noMultiLvlLbl val="0"/>
      </c:catAx>
      <c:valAx>
        <c:axId val="19224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8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2025 6M vs 12M vs Actual</a:t>
            </a:r>
            <a:r>
              <a:rPr lang="en-US" sz="1600" b="1" baseline="0"/>
              <a:t> Prediction % Change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 Forecast vs Actual Qty'!$F$1</c:f>
              <c:strCache>
                <c:ptCount val="1"/>
                <c:pt idx="0">
                  <c:v>6M vs Actual Prediction %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 Forecast vs Actual Qty'!$B$2:$B$7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'2025 Forecast vs Actual Qty'!$F$2:$F$7</c:f>
              <c:numCache>
                <c:formatCode>0.00%</c:formatCode>
                <c:ptCount val="6"/>
                <c:pt idx="0">
                  <c:v>5.3838175211845092E-2</c:v>
                </c:pt>
                <c:pt idx="1">
                  <c:v>-0.16074625694071931</c:v>
                </c:pt>
                <c:pt idx="2">
                  <c:v>2.815788357620666E-2</c:v>
                </c:pt>
                <c:pt idx="3">
                  <c:v>-4.4848295575072888E-2</c:v>
                </c:pt>
                <c:pt idx="4">
                  <c:v>0.13700931768703795</c:v>
                </c:pt>
                <c:pt idx="5">
                  <c:v>0.17840910921333181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1-A04C-AFDB-0369B0535FCD}"/>
            </c:ext>
          </c:extLst>
        </c:ser>
        <c:ser>
          <c:idx val="1"/>
          <c:order val="1"/>
          <c:tx>
            <c:strRef>
              <c:f>'2025 Forecast vs Actual Qty'!$G$1</c:f>
              <c:strCache>
                <c:ptCount val="1"/>
                <c:pt idx="0">
                  <c:v>12M vs Actual Prediction 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 Forecast vs Actual Qty'!$B$2:$B$7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'2025 Forecast vs Actual Qty'!$G$2:$G$7</c:f>
              <c:numCache>
                <c:formatCode>0.00%</c:formatCode>
                <c:ptCount val="6"/>
                <c:pt idx="0">
                  <c:v>4.9326641902759684E-2</c:v>
                </c:pt>
                <c:pt idx="1">
                  <c:v>-0.11241548600329972</c:v>
                </c:pt>
                <c:pt idx="2">
                  <c:v>0.26822455982368659</c:v>
                </c:pt>
                <c:pt idx="3">
                  <c:v>0.12390710852803899</c:v>
                </c:pt>
                <c:pt idx="4">
                  <c:v>0.13207213224758407</c:v>
                </c:pt>
                <c:pt idx="5">
                  <c:v>0.26150156103894784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1-A04C-AFDB-0369B0535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033376"/>
        <c:axId val="2001042512"/>
      </c:lineChart>
      <c:catAx>
        <c:axId val="200103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42512"/>
        <c:crosses val="autoZero"/>
        <c:auto val="1"/>
        <c:lblAlgn val="ctr"/>
        <c:lblOffset val="100"/>
        <c:noMultiLvlLbl val="0"/>
      </c:catAx>
      <c:valAx>
        <c:axId val="20010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3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393700</xdr:colOff>
      <xdr:row>4</xdr:row>
      <xdr:rowOff>101600</xdr:rowOff>
    </xdr:from>
    <xdr:ext cx="10922000" cy="6235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14</xdr:row>
      <xdr:rowOff>88900</xdr:rowOff>
    </xdr:from>
    <xdr:to>
      <xdr:col>5</xdr:col>
      <xdr:colOff>533400</xdr:colOff>
      <xdr:row>48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AB36D7-BA80-F4CB-C1AE-943217124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774700</xdr:colOff>
      <xdr:row>14</xdr:row>
      <xdr:rowOff>114300</xdr:rowOff>
    </xdr:from>
    <xdr:to>
      <xdr:col>13</xdr:col>
      <xdr:colOff>317500</xdr:colOff>
      <xdr:row>48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2821DA-637F-D2AA-00FC-1B68289E4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3</xdr:row>
      <xdr:rowOff>76200</xdr:rowOff>
    </xdr:from>
    <xdr:to>
      <xdr:col>6</xdr:col>
      <xdr:colOff>715050</xdr:colOff>
      <xdr:row>16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7C8F6D-6212-47FE-DC54-46B7FD88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003300"/>
          <a:ext cx="9490750" cy="3098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-3175</xdr:colOff>
      <xdr:row>3</xdr:row>
      <xdr:rowOff>73025</xdr:rowOff>
    </xdr:from>
    <xdr:to>
      <xdr:col>5</xdr:col>
      <xdr:colOff>1358900</xdr:colOff>
      <xdr:row>16</xdr:row>
      <xdr:rowOff>100293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9A494-D8E8-525F-BEB5-747299D2A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3175" y="987425"/>
          <a:ext cx="7800975" cy="31228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14</xdr:row>
      <xdr:rowOff>57150</xdr:rowOff>
    </xdr:from>
    <xdr:to>
      <xdr:col>5</xdr:col>
      <xdr:colOff>2781300</xdr:colOff>
      <xdr:row>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ECC14-8E5F-745A-5F82-71E676878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63500</xdr:colOff>
      <xdr:row>14</xdr:row>
      <xdr:rowOff>0</xdr:rowOff>
    </xdr:from>
    <xdr:to>
      <xdr:col>15</xdr:col>
      <xdr:colOff>419100</xdr:colOff>
      <xdr:row>41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D1EADF-936F-F42E-AF62-F393209AC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D18" sqref="D18"/>
    </sheetView>
  </sheetViews>
  <sheetFormatPr baseColWidth="10" defaultColWidth="8.83203125" defaultRowHeight="19" x14ac:dyDescent="0.25"/>
  <cols>
    <col min="1" max="1" width="46.33203125" style="2" customWidth="1"/>
    <col min="2" max="2" width="115" style="1" customWidth="1"/>
    <col min="3" max="3" width="17.83203125" style="1" customWidth="1"/>
    <col min="4" max="4" width="22" style="1" customWidth="1"/>
    <col min="5" max="5" width="16" style="1" customWidth="1"/>
    <col min="6" max="6" width="19" style="1" customWidth="1"/>
    <col min="7" max="7" width="21" style="1" customWidth="1"/>
    <col min="8" max="8" width="26" style="1" customWidth="1"/>
    <col min="9" max="9" width="7" style="1" customWidth="1"/>
    <col min="10" max="10" width="24" style="1" customWidth="1"/>
    <col min="11" max="11" width="35" style="1" customWidth="1"/>
    <col min="12" max="12" width="36" style="1" customWidth="1"/>
    <col min="13" max="13" width="25" style="1" customWidth="1"/>
    <col min="14" max="14" width="44" style="1" customWidth="1"/>
    <col min="15" max="15" width="12" style="1" customWidth="1"/>
    <col min="16" max="16384" width="8.83203125" style="1"/>
  </cols>
  <sheetData>
    <row r="1" spans="1:15" ht="59" customHeight="1" thickBot="1" x14ac:dyDescent="0.3">
      <c r="A1" s="14"/>
      <c r="B1" s="15" t="s">
        <v>74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6" t="s">
        <v>0</v>
      </c>
      <c r="B2" s="7" t="s">
        <v>61</v>
      </c>
    </row>
    <row r="3" spans="1:15" x14ac:dyDescent="0.25">
      <c r="A3" s="6"/>
      <c r="B3" s="7"/>
    </row>
    <row r="4" spans="1:15" x14ac:dyDescent="0.25">
      <c r="A4" s="6" t="s">
        <v>2</v>
      </c>
      <c r="B4" s="7" t="s">
        <v>61</v>
      </c>
    </row>
    <row r="5" spans="1:15" x14ac:dyDescent="0.25">
      <c r="A5" s="6"/>
      <c r="B5" s="7"/>
    </row>
    <row r="6" spans="1:15" x14ac:dyDescent="0.25">
      <c r="A6" s="6" t="s">
        <v>3</v>
      </c>
      <c r="B6" s="7" t="s">
        <v>61</v>
      </c>
    </row>
    <row r="7" spans="1:15" x14ac:dyDescent="0.25">
      <c r="A7" s="6"/>
      <c r="B7" s="7"/>
    </row>
    <row r="8" spans="1:15" x14ac:dyDescent="0.25">
      <c r="A8" s="6" t="s">
        <v>4</v>
      </c>
      <c r="B8" s="7" t="s">
        <v>62</v>
      </c>
    </row>
    <row r="9" spans="1:15" x14ac:dyDescent="0.25">
      <c r="A9" s="6"/>
      <c r="B9" s="7"/>
    </row>
    <row r="10" spans="1:15" x14ac:dyDescent="0.25">
      <c r="A10" s="6" t="s">
        <v>6</v>
      </c>
      <c r="B10" s="7" t="s">
        <v>7</v>
      </c>
    </row>
    <row r="11" spans="1:15" x14ac:dyDescent="0.25">
      <c r="A11" s="4"/>
      <c r="B11" s="5"/>
    </row>
    <row r="12" spans="1:15" x14ac:dyDescent="0.25">
      <c r="A12" s="4" t="s">
        <v>8</v>
      </c>
      <c r="B12" s="5" t="s">
        <v>9</v>
      </c>
    </row>
    <row r="13" spans="1:15" x14ac:dyDescent="0.25">
      <c r="A13" s="4"/>
      <c r="B13" s="5"/>
    </row>
    <row r="14" spans="1:15" x14ac:dyDescent="0.25">
      <c r="A14" s="4" t="s">
        <v>10</v>
      </c>
      <c r="B14" s="5" t="s">
        <v>11</v>
      </c>
    </row>
    <row r="15" spans="1:15" x14ac:dyDescent="0.25">
      <c r="A15" s="4"/>
      <c r="B15" s="5"/>
    </row>
    <row r="16" spans="1:15" x14ac:dyDescent="0.25">
      <c r="A16" s="4" t="s">
        <v>12</v>
      </c>
      <c r="B16" s="5" t="s">
        <v>63</v>
      </c>
    </row>
    <row r="17" spans="1:2" x14ac:dyDescent="0.25">
      <c r="A17" s="4"/>
      <c r="B17" s="5"/>
    </row>
    <row r="18" spans="1:2" x14ac:dyDescent="0.25">
      <c r="A18" s="4" t="s">
        <v>14</v>
      </c>
      <c r="B18" s="5" t="s">
        <v>15</v>
      </c>
    </row>
    <row r="19" spans="1:2" x14ac:dyDescent="0.25">
      <c r="A19" s="4"/>
      <c r="B19" s="5"/>
    </row>
    <row r="20" spans="1:2" x14ac:dyDescent="0.25">
      <c r="A20" s="4" t="s">
        <v>16</v>
      </c>
      <c r="B20" s="5" t="s">
        <v>17</v>
      </c>
    </row>
    <row r="21" spans="1:2" x14ac:dyDescent="0.25">
      <c r="A21" s="4"/>
      <c r="B21" s="5"/>
    </row>
    <row r="22" spans="1:2" x14ac:dyDescent="0.25">
      <c r="A22" s="4" t="s">
        <v>65</v>
      </c>
      <c r="B22" s="5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1AF2-3268-3E45-BC68-0E3518C61ADB}">
  <dimension ref="A1:O22"/>
  <sheetViews>
    <sheetView workbookViewId="0">
      <selection activeCell="C11" sqref="C11"/>
    </sheetView>
  </sheetViews>
  <sheetFormatPr baseColWidth="10" defaultColWidth="8.83203125" defaultRowHeight="19" x14ac:dyDescent="0.25"/>
  <cols>
    <col min="1" max="1" width="46.5" style="2" customWidth="1"/>
    <col min="2" max="2" width="110" style="1" customWidth="1"/>
    <col min="3" max="3" width="24.1640625" style="1" customWidth="1"/>
    <col min="4" max="4" width="22" style="1" customWidth="1"/>
    <col min="5" max="5" width="16" style="1" customWidth="1"/>
    <col min="6" max="6" width="19" style="1" customWidth="1"/>
    <col min="7" max="7" width="21" style="1" customWidth="1"/>
    <col min="8" max="8" width="26" style="1" customWidth="1"/>
    <col min="9" max="9" width="7" style="1" customWidth="1"/>
    <col min="10" max="10" width="24" style="1" customWidth="1"/>
    <col min="11" max="11" width="35" style="1" customWidth="1"/>
    <col min="12" max="12" width="36" style="1" customWidth="1"/>
    <col min="13" max="13" width="25" style="1" customWidth="1"/>
    <col min="14" max="14" width="44" style="1" customWidth="1"/>
    <col min="15" max="15" width="12" style="1" customWidth="1"/>
    <col min="16" max="16384" width="8.83203125" style="1"/>
  </cols>
  <sheetData>
    <row r="1" spans="1:15" ht="59" customHeight="1" thickBot="1" x14ac:dyDescent="0.3">
      <c r="A1" s="20"/>
      <c r="B1" s="21" t="s">
        <v>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6" t="s">
        <v>0</v>
      </c>
      <c r="B2" s="7" t="s">
        <v>1</v>
      </c>
    </row>
    <row r="3" spans="1:15" x14ac:dyDescent="0.25">
      <c r="A3" s="6"/>
      <c r="B3" s="7"/>
    </row>
    <row r="4" spans="1:15" x14ac:dyDescent="0.25">
      <c r="A4" s="6" t="s">
        <v>2</v>
      </c>
      <c r="B4" s="7" t="s">
        <v>1</v>
      </c>
    </row>
    <row r="5" spans="1:15" x14ac:dyDescent="0.25">
      <c r="A5" s="6"/>
      <c r="B5" s="7"/>
    </row>
    <row r="6" spans="1:15" x14ac:dyDescent="0.25">
      <c r="A6" s="6" t="s">
        <v>3</v>
      </c>
      <c r="B6" s="7" t="s">
        <v>1</v>
      </c>
    </row>
    <row r="7" spans="1:15" x14ac:dyDescent="0.25">
      <c r="A7" s="6"/>
      <c r="B7" s="7"/>
    </row>
    <row r="8" spans="1:15" x14ac:dyDescent="0.25">
      <c r="A8" s="6" t="s">
        <v>4</v>
      </c>
      <c r="B8" s="7" t="s">
        <v>5</v>
      </c>
    </row>
    <row r="9" spans="1:15" x14ac:dyDescent="0.25">
      <c r="A9" s="6"/>
      <c r="B9" s="7"/>
    </row>
    <row r="10" spans="1:15" x14ac:dyDescent="0.25">
      <c r="A10" s="6" t="s">
        <v>6</v>
      </c>
      <c r="B10" s="7" t="s">
        <v>7</v>
      </c>
    </row>
    <row r="11" spans="1:15" x14ac:dyDescent="0.25">
      <c r="A11" s="4"/>
      <c r="B11" s="5"/>
    </row>
    <row r="12" spans="1:15" x14ac:dyDescent="0.25">
      <c r="A12" s="4" t="s">
        <v>8</v>
      </c>
      <c r="B12" s="5" t="s">
        <v>9</v>
      </c>
    </row>
    <row r="13" spans="1:15" x14ac:dyDescent="0.25">
      <c r="A13" s="4"/>
      <c r="B13" s="5"/>
    </row>
    <row r="14" spans="1:15" x14ac:dyDescent="0.25">
      <c r="A14" s="4" t="s">
        <v>10</v>
      </c>
      <c r="B14" s="5" t="s">
        <v>11</v>
      </c>
    </row>
    <row r="15" spans="1:15" x14ac:dyDescent="0.25">
      <c r="A15" s="4"/>
      <c r="B15" s="5"/>
    </row>
    <row r="16" spans="1:15" x14ac:dyDescent="0.25">
      <c r="A16" s="4" t="s">
        <v>12</v>
      </c>
      <c r="B16" s="5" t="s">
        <v>13</v>
      </c>
    </row>
    <row r="17" spans="1:2" x14ac:dyDescent="0.25">
      <c r="A17" s="4"/>
      <c r="B17" s="5"/>
    </row>
    <row r="18" spans="1:2" x14ac:dyDescent="0.25">
      <c r="A18" s="4" t="s">
        <v>14</v>
      </c>
      <c r="B18" s="5" t="s">
        <v>15</v>
      </c>
    </row>
    <row r="19" spans="1:2" x14ac:dyDescent="0.25">
      <c r="A19" s="4"/>
      <c r="B19" s="5"/>
    </row>
    <row r="20" spans="1:2" x14ac:dyDescent="0.25">
      <c r="A20" s="4" t="s">
        <v>16</v>
      </c>
      <c r="B20" s="5" t="s">
        <v>17</v>
      </c>
    </row>
    <row r="21" spans="1:2" x14ac:dyDescent="0.25">
      <c r="A21" s="4"/>
      <c r="B21" s="5"/>
    </row>
    <row r="22" spans="1:2" x14ac:dyDescent="0.25">
      <c r="A22" s="4" t="s">
        <v>65</v>
      </c>
      <c r="B22" s="5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H9" sqref="H9"/>
    </sheetView>
  </sheetViews>
  <sheetFormatPr baseColWidth="10" defaultColWidth="8.83203125" defaultRowHeight="15" x14ac:dyDescent="0.2"/>
  <cols>
    <col min="1" max="1" width="41.1640625" bestFit="1" customWidth="1"/>
    <col min="2" max="2" width="19" customWidth="1"/>
    <col min="3" max="3" width="25.1640625" customWidth="1"/>
    <col min="4" max="4" width="20" customWidth="1"/>
    <col min="5" max="6" width="19" customWidth="1"/>
    <col min="7" max="7" width="31.6640625" customWidth="1"/>
  </cols>
  <sheetData>
    <row r="1" spans="1:7" ht="36" customHeight="1" x14ac:dyDescent="0.2">
      <c r="A1" s="16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6" t="s">
        <v>95</v>
      </c>
      <c r="G1" s="16" t="s">
        <v>24</v>
      </c>
    </row>
    <row r="2" spans="1:7" ht="19" x14ac:dyDescent="0.2">
      <c r="A2" s="8" t="s">
        <v>67</v>
      </c>
      <c r="B2" s="8" t="s">
        <v>25</v>
      </c>
      <c r="C2" s="8">
        <v>9.1741306271886605E-2</v>
      </c>
      <c r="D2" s="17">
        <v>9.1741306271886605E-2</v>
      </c>
      <c r="E2" s="8">
        <v>1.29092097282409</v>
      </c>
      <c r="F2" s="9">
        <v>-0.12</v>
      </c>
      <c r="G2" s="8" t="s">
        <v>26</v>
      </c>
    </row>
    <row r="3" spans="1:7" ht="19" x14ac:dyDescent="0.2">
      <c r="A3" s="8" t="s">
        <v>66</v>
      </c>
      <c r="B3" s="8" t="s">
        <v>25</v>
      </c>
      <c r="C3" s="8">
        <v>8.6831164936618604E-2</v>
      </c>
      <c r="D3" s="8">
        <v>8.6831164936618604E-2</v>
      </c>
      <c r="E3" s="8">
        <v>1.7601563930511399</v>
      </c>
      <c r="F3" s="9">
        <v>0.3266</v>
      </c>
      <c r="G3" s="8" t="s">
        <v>26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EAB7-D880-FD4E-8F6E-1DDE35B5D1AA}">
  <dimension ref="A1:G13"/>
  <sheetViews>
    <sheetView topLeftCell="C1" workbookViewId="0">
      <selection activeCell="N41" sqref="N41"/>
    </sheetView>
  </sheetViews>
  <sheetFormatPr baseColWidth="10" defaultColWidth="8.83203125" defaultRowHeight="15" x14ac:dyDescent="0.2"/>
  <cols>
    <col min="1" max="1" width="23.6640625" customWidth="1"/>
    <col min="2" max="2" width="39" bestFit="1" customWidth="1"/>
    <col min="3" max="3" width="43.6640625" bestFit="1" customWidth="1"/>
    <col min="4" max="4" width="21" bestFit="1" customWidth="1"/>
    <col min="5" max="5" width="40.33203125" bestFit="1" customWidth="1"/>
    <col min="6" max="6" width="45" bestFit="1" customWidth="1"/>
    <col min="7" max="7" width="40.33203125" bestFit="1" customWidth="1"/>
  </cols>
  <sheetData>
    <row r="1" spans="1:7" ht="35" customHeight="1" x14ac:dyDescent="0.2">
      <c r="A1" s="19" t="s">
        <v>68</v>
      </c>
      <c r="B1" s="19" t="s">
        <v>70</v>
      </c>
      <c r="C1" s="19" t="s">
        <v>71</v>
      </c>
      <c r="D1" s="12" t="s">
        <v>27</v>
      </c>
      <c r="E1" s="12" t="s">
        <v>72</v>
      </c>
      <c r="F1" s="12" t="s">
        <v>73</v>
      </c>
      <c r="G1" s="26" t="s">
        <v>75</v>
      </c>
    </row>
    <row r="2" spans="1:7" ht="19" x14ac:dyDescent="0.2">
      <c r="A2" s="13">
        <v>45658</v>
      </c>
      <c r="B2" s="8">
        <v>26456130</v>
      </c>
      <c r="C2" s="18">
        <v>26456130</v>
      </c>
      <c r="D2" s="13">
        <v>45658</v>
      </c>
      <c r="E2" s="8">
        <v>26342870</v>
      </c>
      <c r="F2" s="8" t="s">
        <v>28</v>
      </c>
      <c r="G2" s="59">
        <f>(B2-E2)/ABS(E2)</f>
        <v>4.2994556022179818E-3</v>
      </c>
    </row>
    <row r="3" spans="1:7" ht="19" x14ac:dyDescent="0.2">
      <c r="A3" s="13">
        <v>45689</v>
      </c>
      <c r="B3" s="8">
        <v>23649630</v>
      </c>
      <c r="C3" s="18">
        <v>23649630</v>
      </c>
      <c r="D3" s="13">
        <v>45689</v>
      </c>
      <c r="E3" s="8">
        <v>25011560</v>
      </c>
      <c r="F3" s="8" t="s">
        <v>29</v>
      </c>
      <c r="G3" s="28">
        <f t="shared" ref="G3:G7" si="0">(B3-E3)/ABS(E3)</f>
        <v>-5.4452021385311432E-2</v>
      </c>
    </row>
    <row r="4" spans="1:7" ht="19" x14ac:dyDescent="0.2">
      <c r="A4" s="13">
        <v>45717</v>
      </c>
      <c r="B4" s="8">
        <v>23830920</v>
      </c>
      <c r="C4" s="18">
        <v>23830920</v>
      </c>
      <c r="D4" s="13">
        <v>45717</v>
      </c>
      <c r="E4" s="8">
        <v>29395250</v>
      </c>
      <c r="F4" s="8" t="s">
        <v>30</v>
      </c>
      <c r="G4" s="28">
        <f t="shared" si="0"/>
        <v>-0.18929350830491321</v>
      </c>
    </row>
    <row r="5" spans="1:7" ht="19" x14ac:dyDescent="0.2">
      <c r="A5" s="13">
        <v>45748</v>
      </c>
      <c r="B5" s="8">
        <v>22779200</v>
      </c>
      <c r="C5" s="18">
        <v>22779200</v>
      </c>
      <c r="D5" s="13">
        <v>45748</v>
      </c>
      <c r="E5" s="8">
        <v>26803810</v>
      </c>
      <c r="F5" s="8" t="s">
        <v>31</v>
      </c>
      <c r="G5" s="28">
        <f t="shared" si="0"/>
        <v>-0.15015066887879</v>
      </c>
    </row>
    <row r="6" spans="1:7" ht="19" x14ac:dyDescent="0.2">
      <c r="A6" s="13">
        <v>45778</v>
      </c>
      <c r="B6" s="8">
        <v>25118280</v>
      </c>
      <c r="C6" s="18">
        <v>25118280</v>
      </c>
      <c r="D6" s="13">
        <v>45778</v>
      </c>
      <c r="E6" s="8">
        <v>25009210</v>
      </c>
      <c r="F6" s="8" t="s">
        <v>32</v>
      </c>
      <c r="G6" s="59">
        <f t="shared" si="0"/>
        <v>4.3611933363748795E-3</v>
      </c>
    </row>
    <row r="7" spans="1:7" ht="19" x14ac:dyDescent="0.2">
      <c r="A7" s="23">
        <v>45809</v>
      </c>
      <c r="B7" s="24">
        <v>27141610</v>
      </c>
      <c r="C7" s="25">
        <v>27141610</v>
      </c>
      <c r="D7" s="13">
        <v>45809</v>
      </c>
      <c r="E7" s="8">
        <v>29055430</v>
      </c>
      <c r="F7" s="8" t="s">
        <v>33</v>
      </c>
      <c r="G7" s="31">
        <f t="shared" si="0"/>
        <v>-6.586789457254634E-2</v>
      </c>
    </row>
    <row r="8" spans="1:7" ht="19" x14ac:dyDescent="0.2">
      <c r="A8" s="41"/>
      <c r="B8" s="35"/>
      <c r="C8" s="36"/>
      <c r="D8" s="22">
        <v>45839</v>
      </c>
      <c r="E8" s="8">
        <v>28890970</v>
      </c>
      <c r="F8" s="29" t="s">
        <v>34</v>
      </c>
      <c r="G8" s="32"/>
    </row>
    <row r="9" spans="1:7" ht="19" x14ac:dyDescent="0.2">
      <c r="A9" s="42"/>
      <c r="B9" s="37"/>
      <c r="C9" s="38"/>
      <c r="D9" s="22">
        <v>45870</v>
      </c>
      <c r="E9" s="8">
        <v>28317040</v>
      </c>
      <c r="F9" s="29" t="s">
        <v>35</v>
      </c>
      <c r="G9" s="33"/>
    </row>
    <row r="10" spans="1:7" ht="19" x14ac:dyDescent="0.2">
      <c r="A10" s="42"/>
      <c r="B10" s="37"/>
      <c r="C10" s="38"/>
      <c r="D10" s="22">
        <v>45901</v>
      </c>
      <c r="E10" s="8">
        <v>25762730</v>
      </c>
      <c r="F10" s="29" t="s">
        <v>36</v>
      </c>
      <c r="G10" s="33"/>
    </row>
    <row r="11" spans="1:7" ht="19" x14ac:dyDescent="0.2">
      <c r="A11" s="42"/>
      <c r="B11" s="37"/>
      <c r="C11" s="38"/>
      <c r="D11" s="22">
        <v>45931</v>
      </c>
      <c r="E11" s="8">
        <v>28160890</v>
      </c>
      <c r="F11" s="29" t="s">
        <v>37</v>
      </c>
      <c r="G11" s="33"/>
    </row>
    <row r="12" spans="1:7" ht="19" x14ac:dyDescent="0.2">
      <c r="A12" s="42"/>
      <c r="B12" s="37"/>
      <c r="C12" s="38"/>
      <c r="D12" s="22">
        <v>45962</v>
      </c>
      <c r="E12" s="8">
        <v>27739170</v>
      </c>
      <c r="F12" s="29" t="s">
        <v>38</v>
      </c>
      <c r="G12" s="33"/>
    </row>
    <row r="13" spans="1:7" ht="19" x14ac:dyDescent="0.2">
      <c r="A13" s="43"/>
      <c r="B13" s="39"/>
      <c r="C13" s="40"/>
      <c r="D13" s="22">
        <v>45992</v>
      </c>
      <c r="E13" s="8">
        <v>18733590</v>
      </c>
      <c r="F13" s="30">
        <v>18733590</v>
      </c>
      <c r="G13" s="3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71E0-5857-5A4C-AAB4-69F3DAD7F82C}">
  <dimension ref="A1:S2"/>
  <sheetViews>
    <sheetView workbookViewId="0">
      <selection activeCell="B2" sqref="B2"/>
    </sheetView>
  </sheetViews>
  <sheetFormatPr baseColWidth="10" defaultColWidth="8.83203125" defaultRowHeight="19" x14ac:dyDescent="0.25"/>
  <cols>
    <col min="1" max="1" width="27" style="1" bestFit="1" customWidth="1"/>
    <col min="2" max="2" width="12" style="1" bestFit="1" customWidth="1"/>
    <col min="3" max="4" width="18.6640625" style="1" bestFit="1" customWidth="1"/>
    <col min="5" max="5" width="20.1640625" style="1" bestFit="1" customWidth="1"/>
    <col min="6" max="6" width="21.33203125" style="1" bestFit="1" customWidth="1"/>
    <col min="7" max="7" width="17.5" style="1" bestFit="1" customWidth="1"/>
    <col min="8" max="8" width="18.6640625" style="1" bestFit="1" customWidth="1"/>
    <col min="9" max="9" width="15.83203125" style="1" bestFit="1" customWidth="1"/>
    <col min="10" max="10" width="6.5" style="1" bestFit="1" customWidth="1"/>
    <col min="11" max="11" width="32.33203125" style="1" bestFit="1" customWidth="1"/>
    <col min="12" max="12" width="28.83203125" style="1" bestFit="1" customWidth="1"/>
    <col min="13" max="13" width="17.5" style="1" bestFit="1" customWidth="1"/>
    <col min="14" max="14" width="13.1640625" style="1" bestFit="1" customWidth="1"/>
    <col min="15" max="15" width="16" style="1" bestFit="1" customWidth="1"/>
    <col min="16" max="16" width="18.6640625" style="1" bestFit="1" customWidth="1"/>
    <col min="17" max="17" width="17.6640625" style="1" bestFit="1" customWidth="1"/>
    <col min="18" max="18" width="16.83203125" style="1" bestFit="1" customWidth="1"/>
    <col min="19" max="19" width="16.33203125" style="1" bestFit="1" customWidth="1"/>
    <col min="20" max="16384" width="8.83203125" style="1"/>
  </cols>
  <sheetData>
    <row r="1" spans="1:19" ht="35" customHeight="1" x14ac:dyDescent="0.25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0" t="s">
        <v>56</v>
      </c>
      <c r="S1" s="10" t="s">
        <v>57</v>
      </c>
    </row>
    <row r="2" spans="1:19" s="11" customFormat="1" x14ac:dyDescent="0.2">
      <c r="A2" s="9">
        <v>9.1741306271886605E-2</v>
      </c>
      <c r="B2" s="9">
        <v>-0.12</v>
      </c>
      <c r="C2" s="9">
        <v>9.1741306271886605E-2</v>
      </c>
      <c r="D2" s="9">
        <v>1.29092097282409</v>
      </c>
      <c r="E2" s="9">
        <v>9.1741306271886605E-2</v>
      </c>
      <c r="F2" s="9">
        <v>333.93182301521301</v>
      </c>
      <c r="G2" s="9">
        <v>4</v>
      </c>
      <c r="H2" s="9">
        <v>0.92056411376698299</v>
      </c>
      <c r="I2" s="9">
        <v>5</v>
      </c>
      <c r="J2" s="9">
        <v>22</v>
      </c>
      <c r="K2" s="9">
        <v>3</v>
      </c>
      <c r="L2" s="9">
        <v>1</v>
      </c>
      <c r="M2" s="9" t="b">
        <v>0</v>
      </c>
      <c r="N2" s="9" t="s">
        <v>25</v>
      </c>
      <c r="O2" s="9" t="s">
        <v>58</v>
      </c>
      <c r="P2" s="9" t="s">
        <v>59</v>
      </c>
      <c r="Q2" s="9" t="s">
        <v>60</v>
      </c>
      <c r="R2" s="9" t="s">
        <v>25</v>
      </c>
      <c r="S2" s="9">
        <v>96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workbookViewId="0">
      <selection activeCell="B2" sqref="B2"/>
    </sheetView>
  </sheetViews>
  <sheetFormatPr baseColWidth="10" defaultColWidth="8.83203125" defaultRowHeight="19" x14ac:dyDescent="0.25"/>
  <cols>
    <col min="1" max="1" width="27" style="1" bestFit="1" customWidth="1"/>
    <col min="2" max="2" width="12" style="1" bestFit="1" customWidth="1"/>
    <col min="3" max="4" width="18.6640625" style="1" bestFit="1" customWidth="1"/>
    <col min="5" max="5" width="20.1640625" style="1" bestFit="1" customWidth="1"/>
    <col min="6" max="6" width="21.33203125" style="1" bestFit="1" customWidth="1"/>
    <col min="7" max="7" width="17.5" style="1" bestFit="1" customWidth="1"/>
    <col min="8" max="8" width="18.6640625" style="1" bestFit="1" customWidth="1"/>
    <col min="9" max="9" width="15.83203125" style="1" bestFit="1" customWidth="1"/>
    <col min="10" max="10" width="6.5" style="1" bestFit="1" customWidth="1"/>
    <col min="11" max="11" width="32.33203125" style="1" bestFit="1" customWidth="1"/>
    <col min="12" max="12" width="28.83203125" style="1" bestFit="1" customWidth="1"/>
    <col min="13" max="13" width="17.5" style="1" bestFit="1" customWidth="1"/>
    <col min="14" max="14" width="13.1640625" style="1" bestFit="1" customWidth="1"/>
    <col min="15" max="15" width="16" style="1" bestFit="1" customWidth="1"/>
    <col min="16" max="16" width="18.6640625" style="1" bestFit="1" customWidth="1"/>
    <col min="17" max="17" width="17.6640625" style="1" bestFit="1" customWidth="1"/>
    <col min="18" max="18" width="16.83203125" style="1" bestFit="1" customWidth="1"/>
    <col min="19" max="19" width="16.33203125" style="1" bestFit="1" customWidth="1"/>
    <col min="20" max="16384" width="8.83203125" style="1"/>
  </cols>
  <sheetData>
    <row r="1" spans="1:19" ht="35" customHeight="1" x14ac:dyDescent="0.25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0" t="s">
        <v>56</v>
      </c>
      <c r="S1" s="10" t="s">
        <v>57</v>
      </c>
    </row>
    <row r="2" spans="1:19" s="11" customFormat="1" x14ac:dyDescent="0.2">
      <c r="A2" s="9">
        <v>8.6831164936618604E-2</v>
      </c>
      <c r="B2" s="9">
        <v>0.3266</v>
      </c>
      <c r="C2" s="9">
        <v>8.6831164936618604E-2</v>
      </c>
      <c r="D2" s="9">
        <v>1.7601563930511399</v>
      </c>
      <c r="E2" s="9">
        <v>8.6831164936618604E-2</v>
      </c>
      <c r="F2" s="9">
        <v>541.37175703048695</v>
      </c>
      <c r="G2" s="9">
        <v>4</v>
      </c>
      <c r="H2" s="9">
        <v>0.77012048600000005</v>
      </c>
      <c r="I2" s="9">
        <v>4</v>
      </c>
      <c r="J2" s="9">
        <v>23</v>
      </c>
      <c r="K2" s="9">
        <v>2</v>
      </c>
      <c r="L2" s="9">
        <v>1</v>
      </c>
      <c r="M2" s="9" t="b">
        <v>0</v>
      </c>
      <c r="N2" s="9" t="s">
        <v>25</v>
      </c>
      <c r="O2" s="9" t="s">
        <v>58</v>
      </c>
      <c r="P2" s="9" t="s">
        <v>59</v>
      </c>
      <c r="Q2" s="9" t="s">
        <v>60</v>
      </c>
      <c r="R2" s="9" t="s">
        <v>25</v>
      </c>
      <c r="S2" s="9">
        <v>96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CA40-C714-8B4B-81AA-FB180BD1884F}">
  <dimension ref="A1:G13"/>
  <sheetViews>
    <sheetView workbookViewId="0">
      <selection activeCell="I13" sqref="I13"/>
    </sheetView>
  </sheetViews>
  <sheetFormatPr baseColWidth="10" defaultRowHeight="15" x14ac:dyDescent="0.2"/>
  <cols>
    <col min="2" max="2" width="13.83203125" customWidth="1"/>
    <col min="3" max="4" width="29.1640625" bestFit="1" customWidth="1"/>
    <col min="5" max="5" width="23.6640625" customWidth="1"/>
    <col min="6" max="7" width="38.5" bestFit="1" customWidth="1"/>
  </cols>
  <sheetData>
    <row r="1" spans="1:7" ht="34" customHeight="1" x14ac:dyDescent="0.2">
      <c r="A1" s="10" t="s">
        <v>79</v>
      </c>
      <c r="B1" s="10" t="s">
        <v>80</v>
      </c>
      <c r="C1" s="10" t="s">
        <v>77</v>
      </c>
      <c r="D1" s="10" t="s">
        <v>76</v>
      </c>
      <c r="E1" s="10" t="s">
        <v>78</v>
      </c>
      <c r="F1" s="47" t="s">
        <v>93</v>
      </c>
      <c r="G1" s="48" t="s">
        <v>94</v>
      </c>
    </row>
    <row r="2" spans="1:7" ht="19" x14ac:dyDescent="0.2">
      <c r="A2" s="8">
        <v>2025</v>
      </c>
      <c r="B2" s="8" t="s">
        <v>81</v>
      </c>
      <c r="C2" s="52">
        <v>26456130</v>
      </c>
      <c r="D2" s="52">
        <v>26342870</v>
      </c>
      <c r="E2" s="54">
        <v>25104547</v>
      </c>
      <c r="F2" s="58">
        <f>(C2-E2)/ABS(E2)</f>
        <v>5.3838175211845092E-2</v>
      </c>
      <c r="G2" s="59">
        <f>(D2-E2)/ABS(E2)</f>
        <v>4.9326641902759684E-2</v>
      </c>
    </row>
    <row r="3" spans="1:7" ht="19" x14ac:dyDescent="0.2">
      <c r="A3" s="8">
        <v>2025</v>
      </c>
      <c r="B3" s="8" t="s">
        <v>82</v>
      </c>
      <c r="C3" s="52">
        <v>23649630</v>
      </c>
      <c r="D3" s="52">
        <v>25011560</v>
      </c>
      <c r="E3" s="54">
        <v>28179356</v>
      </c>
      <c r="F3" s="58">
        <f t="shared" ref="F3:F7" si="0">(C3-E3)/ABS(E3)</f>
        <v>-0.16074625694071931</v>
      </c>
      <c r="G3" s="59">
        <f t="shared" ref="G3:G7" si="1">(D3-E3)/ABS(E3)</f>
        <v>-0.11241548600329972</v>
      </c>
    </row>
    <row r="4" spans="1:7" ht="19" x14ac:dyDescent="0.2">
      <c r="A4" s="8">
        <v>2025</v>
      </c>
      <c r="B4" s="8" t="s">
        <v>83</v>
      </c>
      <c r="C4" s="52">
        <v>23830920</v>
      </c>
      <c r="D4" s="52">
        <v>29395250</v>
      </c>
      <c r="E4" s="54">
        <v>23178269</v>
      </c>
      <c r="F4" s="59">
        <f t="shared" si="0"/>
        <v>2.815788357620666E-2</v>
      </c>
      <c r="G4" s="28">
        <f t="shared" si="1"/>
        <v>0.26822455982368659</v>
      </c>
    </row>
    <row r="5" spans="1:7" ht="19" x14ac:dyDescent="0.2">
      <c r="A5" s="8">
        <v>2025</v>
      </c>
      <c r="B5" s="8" t="s">
        <v>84</v>
      </c>
      <c r="C5" s="52">
        <v>22779200</v>
      </c>
      <c r="D5" s="52">
        <v>26803810</v>
      </c>
      <c r="E5" s="54">
        <v>23848777</v>
      </c>
      <c r="F5" s="59">
        <f t="shared" si="0"/>
        <v>-4.4848295575072888E-2</v>
      </c>
      <c r="G5" s="28">
        <f t="shared" si="1"/>
        <v>0.12390710852803899</v>
      </c>
    </row>
    <row r="6" spans="1:7" ht="19" x14ac:dyDescent="0.2">
      <c r="A6" s="8">
        <v>2025</v>
      </c>
      <c r="B6" s="8" t="s">
        <v>85</v>
      </c>
      <c r="C6" s="52">
        <v>25118280</v>
      </c>
      <c r="D6" s="52">
        <v>25009210</v>
      </c>
      <c r="E6" s="54">
        <v>22091534</v>
      </c>
      <c r="F6" s="58">
        <f>(C6-E6)/ABS(E6)</f>
        <v>0.13700931768703795</v>
      </c>
      <c r="G6" s="59">
        <f t="shared" si="1"/>
        <v>0.13207213224758407</v>
      </c>
    </row>
    <row r="7" spans="1:7" ht="19" x14ac:dyDescent="0.2">
      <c r="A7" s="8">
        <v>2025</v>
      </c>
      <c r="B7" s="8" t="s">
        <v>86</v>
      </c>
      <c r="C7" s="53">
        <v>27141610</v>
      </c>
      <c r="D7" s="52">
        <v>29055430</v>
      </c>
      <c r="E7" s="54">
        <v>23032417</v>
      </c>
      <c r="F7" s="59">
        <f t="shared" si="0"/>
        <v>0.17840910921333181</v>
      </c>
      <c r="G7" s="28">
        <f t="shared" si="1"/>
        <v>0.26150156103894784</v>
      </c>
    </row>
    <row r="8" spans="1:7" ht="19" x14ac:dyDescent="0.2">
      <c r="A8" s="8">
        <v>2025</v>
      </c>
      <c r="B8" s="29" t="s">
        <v>87</v>
      </c>
      <c r="C8" s="44"/>
      <c r="D8" s="52">
        <v>28890970</v>
      </c>
      <c r="E8" s="49"/>
      <c r="F8" s="49"/>
      <c r="G8" s="55"/>
    </row>
    <row r="9" spans="1:7" ht="19" x14ac:dyDescent="0.2">
      <c r="A9" s="8">
        <v>2025</v>
      </c>
      <c r="B9" s="29" t="s">
        <v>88</v>
      </c>
      <c r="C9" s="45"/>
      <c r="D9" s="52">
        <v>28317040</v>
      </c>
      <c r="E9" s="50"/>
      <c r="F9" s="50"/>
      <c r="G9" s="56"/>
    </row>
    <row r="10" spans="1:7" ht="19" x14ac:dyDescent="0.2">
      <c r="A10" s="8">
        <v>2025</v>
      </c>
      <c r="B10" s="29" t="s">
        <v>89</v>
      </c>
      <c r="C10" s="45"/>
      <c r="D10" s="52">
        <v>25762730</v>
      </c>
      <c r="E10" s="50"/>
      <c r="F10" s="50"/>
      <c r="G10" s="56"/>
    </row>
    <row r="11" spans="1:7" ht="19" x14ac:dyDescent="0.2">
      <c r="A11" s="8">
        <v>2025</v>
      </c>
      <c r="B11" s="29" t="s">
        <v>90</v>
      </c>
      <c r="C11" s="45"/>
      <c r="D11" s="52">
        <v>28160890</v>
      </c>
      <c r="E11" s="50"/>
      <c r="F11" s="50"/>
      <c r="G11" s="56"/>
    </row>
    <row r="12" spans="1:7" ht="19" x14ac:dyDescent="0.2">
      <c r="A12" s="8">
        <v>2025</v>
      </c>
      <c r="B12" s="29" t="s">
        <v>91</v>
      </c>
      <c r="C12" s="45"/>
      <c r="D12" s="52">
        <v>27739170</v>
      </c>
      <c r="E12" s="50"/>
      <c r="F12" s="50"/>
      <c r="G12" s="56"/>
    </row>
    <row r="13" spans="1:7" ht="19" x14ac:dyDescent="0.2">
      <c r="A13" s="8">
        <v>2025</v>
      </c>
      <c r="B13" s="29" t="s">
        <v>92</v>
      </c>
      <c r="C13" s="46"/>
      <c r="D13" s="52">
        <v>18733590</v>
      </c>
      <c r="E13" s="51"/>
      <c r="F13" s="51"/>
      <c r="G13" s="57"/>
    </row>
  </sheetData>
  <phoneticPr fontId="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5D32-0317-C64A-80E5-1A3F273EC4BD}">
  <dimension ref="A1:B5"/>
  <sheetViews>
    <sheetView workbookViewId="0">
      <selection activeCell="F9" sqref="F9"/>
    </sheetView>
  </sheetViews>
  <sheetFormatPr baseColWidth="10" defaultRowHeight="15" x14ac:dyDescent="0.2"/>
  <sheetData>
    <row r="1" spans="1:2" ht="19" x14ac:dyDescent="0.2">
      <c r="A1" s="60" t="s">
        <v>22</v>
      </c>
      <c r="B1" s="60" t="s">
        <v>96</v>
      </c>
    </row>
    <row r="2" spans="1:2" ht="19" x14ac:dyDescent="0.25">
      <c r="A2" s="27"/>
      <c r="B2" s="27"/>
    </row>
    <row r="3" spans="1:2" ht="19" x14ac:dyDescent="0.25">
      <c r="A3" s="27"/>
      <c r="B3" s="27"/>
    </row>
    <row r="4" spans="1:2" ht="19" x14ac:dyDescent="0.25">
      <c r="A4" s="27"/>
      <c r="B4" s="27"/>
    </row>
    <row r="5" spans="1:2" ht="19" x14ac:dyDescent="0.25">
      <c r="A5" s="27"/>
      <c r="B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(6 Months)</vt:lpstr>
      <vt:lpstr>Summary (12 Months)</vt:lpstr>
      <vt:lpstr>6 Months vs 12 Months Results</vt:lpstr>
      <vt:lpstr>6 Months vs 12 Months Forecast</vt:lpstr>
      <vt:lpstr>extra_tree (6 Months) </vt:lpstr>
      <vt:lpstr>extra_tree (12 Months)</vt:lpstr>
      <vt:lpstr>2025 Forecast vs Actual Qty</vt:lpstr>
      <vt:lpstr>MAPE 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nmalsabah1@gmail.com</cp:lastModifiedBy>
  <cp:revision/>
  <dcterms:created xsi:type="dcterms:W3CDTF">2025-07-12T18:23:40Z</dcterms:created>
  <dcterms:modified xsi:type="dcterms:W3CDTF">2025-07-19T23:36:54Z</dcterms:modified>
  <cp:category/>
  <cp:contentStatus/>
</cp:coreProperties>
</file>