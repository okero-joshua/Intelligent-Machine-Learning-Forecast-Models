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oleal-sabah/Library/CloudStorage/GoogleDrive-nalsabah@csumb.edu/My Drive/CST489:499 Capstone/DKODE Capstone Project/"/>
    </mc:Choice>
  </mc:AlternateContent>
  <xr:revisionPtr revIDLastSave="0" documentId="13_ncr:1_{F39F5764-AEEB-9E43-B61C-24F3974578BF}" xr6:coauthVersionLast="47" xr6:coauthVersionMax="47" xr10:uidLastSave="{00000000-0000-0000-0000-000000000000}"/>
  <bookViews>
    <workbookView xWindow="340" yWindow="660" windowWidth="28160" windowHeight="15680" xr2:uid="{00000000-000D-0000-FFFF-FFFF00000000}"/>
  </bookViews>
  <sheets>
    <sheet name="Summary" sheetId="1" r:id="rId1"/>
    <sheet name="Model Comparison" sheetId="2" r:id="rId2"/>
    <sheet name="Forecast" sheetId="19" r:id="rId3"/>
    <sheet name="extra_tree" sheetId="3" r:id="rId4"/>
    <sheet name="xgb_limitdepth" sheetId="4" r:id="rId5"/>
    <sheet name="xgboost" sheetId="5" r:id="rId6"/>
    <sheet name="tcn" sheetId="6" r:id="rId7"/>
    <sheet name="sarimax" sheetId="7" r:id="rId8"/>
    <sheet name="snaive" sheetId="8" r:id="rId9"/>
    <sheet name="savg" sheetId="9" r:id="rId10"/>
    <sheet name="rf" sheetId="10" r:id="rId11"/>
    <sheet name="prophet" sheetId="11" r:id="rId12"/>
    <sheet name="naive" sheetId="12" r:id="rId13"/>
    <sheet name="lgbm" sheetId="13" r:id="rId14"/>
    <sheet name="lassolars" sheetId="14" r:id="rId15"/>
    <sheet name="holt-winters" sheetId="15" r:id="rId16"/>
    <sheet name="avg" sheetId="16" r:id="rId17"/>
    <sheet name="arima" sheetId="17" r:id="rId18"/>
  </sheets>
  <calcPr calcId="0"/>
</workbook>
</file>

<file path=xl/sharedStrings.xml><?xml version="1.0" encoding="utf-8"?>
<sst xmlns="http://schemas.openxmlformats.org/spreadsheetml/2006/main" count="480" uniqueCount="172">
  <si>
    <t>combined_sales_economic_data_for_forecasting_na</t>
  </si>
  <si>
    <t>Runtime Duration:</t>
  </si>
  <si>
    <t>Models Successfully Run:</t>
  </si>
  <si>
    <t>XGBoost</t>
  </si>
  <si>
    <t>XGBoost Limited Depth</t>
  </si>
  <si>
    <t>Random Forest</t>
  </si>
  <si>
    <t>Light GBM</t>
  </si>
  <si>
    <t>ARIMA</t>
  </si>
  <si>
    <t>SARIMAX</t>
  </si>
  <si>
    <t>Prophet</t>
  </si>
  <si>
    <t>Naive</t>
  </si>
  <si>
    <t>Seasonal Naive</t>
  </si>
  <si>
    <t>Seasonal Average</t>
  </si>
  <si>
    <t>Average</t>
  </si>
  <si>
    <t>Models Failed to Run and Reasons:</t>
  </si>
  <si>
    <t>Arimax</t>
  </si>
  <si>
    <t>Not supported by FLAML – ValueError: arimax is not a built-in learner</t>
  </si>
  <si>
    <t>CatBoost</t>
  </si>
  <si>
    <t>Missing parameter 'n_estimators' – causes runtime error</t>
  </si>
  <si>
    <t>Missing module 'pytorch_forecasting' – not preinstalled</t>
  </si>
  <si>
    <t>ForecastTCN</t>
  </si>
  <si>
    <t>Orbit</t>
  </si>
  <si>
    <t>Decision Tree</t>
  </si>
  <si>
    <t>ExponentialSmoothing</t>
  </si>
  <si>
    <t>Official Microsoft Model List:</t>
  </si>
  <si>
    <t>https://learn.microsoft.com/en-us/fabric/data-science/automated-machine-learning-fabric</t>
  </si>
  <si>
    <t>Formal Name</t>
  </si>
  <si>
    <t>AutoML Name</t>
  </si>
  <si>
    <t>Validation Loss</t>
  </si>
  <si>
    <t>MAPE</t>
  </si>
  <si>
    <t>Trial Time</t>
  </si>
  <si>
    <t>Result Summary</t>
  </si>
  <si>
    <t>Extremely Randomized Trees</t>
  </si>
  <si>
    <t>Excellent performance</t>
  </si>
  <si>
    <t>XGBoost with Limited Depth</t>
  </si>
  <si>
    <t>xgb_limitdepth</t>
  </si>
  <si>
    <t>Good performance</t>
  </si>
  <si>
    <t>xgboost</t>
  </si>
  <si>
    <t>tcn</t>
  </si>
  <si>
    <t>Poor performance</t>
  </si>
  <si>
    <t>sarimax</t>
  </si>
  <si>
    <t>Moderate performance</t>
  </si>
  <si>
    <t>snaive</t>
  </si>
  <si>
    <t>savg</t>
  </si>
  <si>
    <t>rf</t>
  </si>
  <si>
    <t>prophet</t>
  </si>
  <si>
    <t>naive</t>
  </si>
  <si>
    <t>LightGBM</t>
  </si>
  <si>
    <t>lgbm</t>
  </si>
  <si>
    <t>LARS Lasso</t>
  </si>
  <si>
    <t>lassolars</t>
  </si>
  <si>
    <t>Holt-Winters Exponential Smoothing</t>
  </si>
  <si>
    <t>holt-winters</t>
  </si>
  <si>
    <t>avg</t>
  </si>
  <si>
    <t>arima</t>
  </si>
  <si>
    <t>best_validation_loss</t>
  </si>
  <si>
    <t>R² Score</t>
  </si>
  <si>
    <t>mape</t>
  </si>
  <si>
    <t>trial_time</t>
  </si>
  <si>
    <t>validation_loss</t>
  </si>
  <si>
    <t>wall_clock_time</t>
  </si>
  <si>
    <t>n_estimators</t>
  </si>
  <si>
    <t>lags</t>
  </si>
  <si>
    <t>max_leaves</t>
  </si>
  <si>
    <t>monthly_fourier_degree</t>
  </si>
  <si>
    <t>fourier_time_features</t>
  </si>
  <si>
    <t>pca_features</t>
  </si>
  <si>
    <t>learner</t>
  </si>
  <si>
    <t>sample_size</t>
  </si>
  <si>
    <t>variance</t>
  </si>
  <si>
    <t>ordinal</t>
  </si>
  <si>
    <t>PCA</t>
  </si>
  <si>
    <t>extra_tree</t>
  </si>
  <si>
    <t>iter_counter</t>
  </si>
  <si>
    <t>fe.extraction</t>
  </si>
  <si>
    <t>cardinality</t>
  </si>
  <si>
    <t>multiplicative</t>
  </si>
  <si>
    <t>add</t>
  </si>
  <si>
    <t>p</t>
  </si>
  <si>
    <t>d</t>
  </si>
  <si>
    <t>q</t>
  </si>
  <si>
    <t>fe.selection</t>
  </si>
  <si>
    <t>fe.categorical</t>
  </si>
  <si>
    <t>fe.numerical</t>
  </si>
  <si>
    <t>null</t>
  </si>
  <si>
    <t xml:space="preserve">Table Used: </t>
  </si>
  <si>
    <t xml:space="preserve">Dataset Used: </t>
  </si>
  <si>
    <t>Created new table.</t>
  </si>
  <si>
    <t>Not supported by FLAML – ValueError: dt is not a built-in learner</t>
  </si>
  <si>
    <t>Not supported by FLAML – ValueError: orbit is not a built-in learner</t>
  </si>
  <si>
    <t>Not supported by FLAML – ValueError: exponential_smoothing is not a built-in learner</t>
  </si>
  <si>
    <t>Gradient Boosting</t>
  </si>
  <si>
    <t>Not supported by FLAML – ValueError: gradient_boosting is not a built-in learner</t>
  </si>
  <si>
    <t>K Nearest Neighbors</t>
  </si>
  <si>
    <t>Not supported by FLAML – ValueError: k_nearest_neighbors is not a built-in learner</t>
  </si>
  <si>
    <t>ElasticNet</t>
  </si>
  <si>
    <t>Not supported by FLAML – ValueError: elasticnet is not a built-in learner</t>
  </si>
  <si>
    <t>SeasonalAverage</t>
  </si>
  <si>
    <t>SeasonalNaive</t>
  </si>
  <si>
    <t>Temporal Fusion Transformer</t>
  </si>
  <si>
    <t>XGBoost for Time Series</t>
  </si>
  <si>
    <t>Not supported by FLAML – ValueError: xgboost_for_time_series is not a built-in learner</t>
  </si>
  <si>
    <t>max_features</t>
  </si>
  <si>
    <t>best_learner</t>
  </si>
  <si>
    <t>max_depth</t>
  </si>
  <si>
    <t>min_child_weight</t>
  </si>
  <si>
    <t>learning_rate</t>
  </si>
  <si>
    <t>subsample</t>
  </si>
  <si>
    <t>colsample_bytree</t>
  </si>
  <si>
    <t>reg_alpha</t>
  </si>
  <si>
    <t>reg_lambda</t>
  </si>
  <si>
    <t>max_child_weight</t>
  </si>
  <si>
    <t>colsample_bylevel</t>
  </si>
  <si>
    <t>num_levels</t>
  </si>
  <si>
    <t>num_hidden</t>
  </si>
  <si>
    <t>kernel_size</t>
  </si>
  <si>
    <t>dropout</t>
  </si>
  <si>
    <t>P</t>
  </si>
  <si>
    <t>D</t>
  </si>
  <si>
    <t>Q</t>
  </si>
  <si>
    <t>s</t>
  </si>
  <si>
    <t>normalizer_sparse</t>
  </si>
  <si>
    <t>season</t>
  </si>
  <si>
    <t>scaler_minmax</t>
  </si>
  <si>
    <t>changepoint_prior_scale</t>
  </si>
  <si>
    <t>seasonality_prior_scale</t>
  </si>
  <si>
    <t>holidays_prior_scale</t>
  </si>
  <si>
    <t>seasonality_mode</t>
  </si>
  <si>
    <t>naïve</t>
  </si>
  <si>
    <t>num_leaves</t>
  </si>
  <si>
    <t>min_child_samples</t>
  </si>
  <si>
    <t>log_max_bin</t>
  </si>
  <si>
    <t>reg_lamba</t>
  </si>
  <si>
    <t>alpha</t>
  </si>
  <si>
    <t>fit_intercept</t>
  </si>
  <si>
    <t>eps</t>
  </si>
  <si>
    <t>scaler_robust</t>
  </si>
  <si>
    <t>damped_trend</t>
  </si>
  <si>
    <t>trend</t>
  </si>
  <si>
    <t>seasonal</t>
  </si>
  <si>
    <t>use_boxcox</t>
  </si>
  <si>
    <t>seasonal_periods</t>
  </si>
  <si>
    <t>scaler_maxabs</t>
  </si>
  <si>
    <t>Notebook:</t>
  </si>
  <si>
    <t>Experiment:</t>
  </si>
  <si>
    <t>Model:</t>
  </si>
  <si>
    <t>combined_sales_economic_data.csv</t>
  </si>
  <si>
    <t>Forecast_CombinedSalesEconomicData_v1_NA</t>
  </si>
  <si>
    <t>combined_sales_economic_data_for_forecasting_na_predictions</t>
  </si>
  <si>
    <t>Predictions Table:</t>
  </si>
  <si>
    <t>Forecast Horizon:</t>
  </si>
  <si>
    <t xml:space="preserve">Prediction Frequency: </t>
  </si>
  <si>
    <t>Monthly</t>
  </si>
  <si>
    <t>12 Months</t>
  </si>
  <si>
    <t>Approximately 2 Hours</t>
  </si>
  <si>
    <t>Date Range for Data:</t>
  </si>
  <si>
    <t>01-01-2015 to 12-01-2024</t>
  </si>
  <si>
    <t>Forecasted_Quantity</t>
  </si>
  <si>
    <t>Raw Prediction Numbers</t>
  </si>
  <si>
    <t>2.634287e+07  </t>
  </si>
  <si>
    <t>2.501156e+07  </t>
  </si>
  <si>
    <t>2.939525e+07  </t>
  </si>
  <si>
    <t>2.680381e+07  </t>
  </si>
  <si>
    <t>2.500921e+07  </t>
  </si>
  <si>
    <t>2.905543e+07  </t>
  </si>
  <si>
    <t>2.889097e+07  </t>
  </si>
  <si>
    <t>2.831704e+07  </t>
  </si>
  <si>
    <t>2.576273e+07  </t>
  </si>
  <si>
    <t>2.816089e+07  </t>
  </si>
  <si>
    <t>2.773917e+07  </t>
  </si>
  <si>
    <t>Date (12 months)</t>
  </si>
  <si>
    <t xml:space="preserve">            Forecasting Experiment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</si>
</sst>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sz val="14"/>
      <name val="Calibri (Body)"/>
    </font>
    <font>
      <b/>
      <sz val="14"/>
      <color theme="1"/>
      <name val="Calibri (Body)"/>
    </font>
    <font>
      <b/>
      <sz val="2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4" fillId="0" borderId="2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11" fontId="2" fillId="0" borderId="1" xfId="0" applyNumberFormat="1" applyFont="1" applyBorder="1" applyAlignment="1">
      <alignment horizontal="left" vertical="center"/>
    </xf>
    <xf numFmtId="0" fontId="9" fillId="0" borderId="1" xfId="1" applyFont="1" applyBorder="1"/>
    <xf numFmtId="0" fontId="10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1" fontId="7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Validation Loss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'Model Comparison'!$A$2:$A$16</c:f>
              <c:strCache>
                <c:ptCount val="15"/>
                <c:pt idx="0">
                  <c:v>Extremely Randomized Trees</c:v>
                </c:pt>
                <c:pt idx="1">
                  <c:v>XGBoost with Limited Depth</c:v>
                </c:pt>
                <c:pt idx="2">
                  <c:v>XGBoost</c:v>
                </c:pt>
                <c:pt idx="3">
                  <c:v>ForecastTCN</c:v>
                </c:pt>
                <c:pt idx="4">
                  <c:v>SARIMAX</c:v>
                </c:pt>
                <c:pt idx="5">
                  <c:v>Seasonal Naive</c:v>
                </c:pt>
                <c:pt idx="6">
                  <c:v>Seasonal Average</c:v>
                </c:pt>
                <c:pt idx="7">
                  <c:v>Random Forest</c:v>
                </c:pt>
                <c:pt idx="8">
                  <c:v>Prophet</c:v>
                </c:pt>
                <c:pt idx="9">
                  <c:v>Naive</c:v>
                </c:pt>
                <c:pt idx="10">
                  <c:v>LightGBM</c:v>
                </c:pt>
                <c:pt idx="11">
                  <c:v>LARS Lasso</c:v>
                </c:pt>
                <c:pt idx="12">
                  <c:v>Holt-Winters Exponential Smoothing</c:v>
                </c:pt>
                <c:pt idx="13">
                  <c:v>Average</c:v>
                </c:pt>
                <c:pt idx="14">
                  <c:v>ARIMA</c:v>
                </c:pt>
              </c:strCache>
            </c:strRef>
          </c:cat>
          <c:val>
            <c:numRef>
              <c:f>'Model Comparison'!$C$2:$C$16</c:f>
              <c:numCache>
                <c:formatCode>General</c:formatCode>
                <c:ptCount val="15"/>
                <c:pt idx="0">
                  <c:v>8.6831164936618604E-2</c:v>
                </c:pt>
                <c:pt idx="1">
                  <c:v>0.11739294975995999</c:v>
                </c:pt>
                <c:pt idx="2">
                  <c:v>0.11357311904430301</c:v>
                </c:pt>
                <c:pt idx="3">
                  <c:v>0.987250840663909</c:v>
                </c:pt>
                <c:pt idx="4">
                  <c:v>0.25409968237115599</c:v>
                </c:pt>
                <c:pt idx="5">
                  <c:v>0.143514396635706</c:v>
                </c:pt>
                <c:pt idx="6">
                  <c:v>0.124812760895072</c:v>
                </c:pt>
                <c:pt idx="7">
                  <c:v>0.11396296510977801</c:v>
                </c:pt>
                <c:pt idx="8">
                  <c:v>8.5156032299737507</c:v>
                </c:pt>
                <c:pt idx="9">
                  <c:v>0.183556695485323</c:v>
                </c:pt>
                <c:pt idx="10">
                  <c:v>0.118458530638341</c:v>
                </c:pt>
                <c:pt idx="11">
                  <c:v>0.28354014589913701</c:v>
                </c:pt>
                <c:pt idx="12">
                  <c:v>0.109037397756027</c:v>
                </c:pt>
                <c:pt idx="13">
                  <c:v>0.124812760895072</c:v>
                </c:pt>
                <c:pt idx="14">
                  <c:v>1.3268861840783901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2A4F-8DF8-56F15AB3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Validation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12-Month Forecast (extra_trees)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Forecasted Quantity</c:v>
          </c:tx>
          <c:marker>
            <c:symbol val="none"/>
          </c:marker>
          <c:cat>
            <c:numRef>
              <c:f>Forecast!$A$2:$A$13</c:f>
              <c:numCache>
                <c:formatCode>yyyy\-mm\-dd\ hh:mm:ss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Forecast!$B$2:$B$13</c:f>
              <c:numCache>
                <c:formatCode>General</c:formatCode>
                <c:ptCount val="12"/>
                <c:pt idx="0">
                  <c:v>26342870</c:v>
                </c:pt>
                <c:pt idx="1">
                  <c:v>25011560</c:v>
                </c:pt>
                <c:pt idx="2">
                  <c:v>29395250</c:v>
                </c:pt>
                <c:pt idx="3">
                  <c:v>26803810</c:v>
                </c:pt>
                <c:pt idx="4">
                  <c:v>25009210</c:v>
                </c:pt>
                <c:pt idx="5">
                  <c:v>29055430</c:v>
                </c:pt>
                <c:pt idx="6">
                  <c:v>28890970</c:v>
                </c:pt>
                <c:pt idx="7">
                  <c:v>28317040</c:v>
                </c:pt>
                <c:pt idx="8">
                  <c:v>25762730</c:v>
                </c:pt>
                <c:pt idx="9">
                  <c:v>28160890</c:v>
                </c:pt>
                <c:pt idx="10">
                  <c:v>27739170</c:v>
                </c:pt>
                <c:pt idx="11">
                  <c:v>18733590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0-1E40-AF4E-0F0CAC685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0</xdr:row>
      <xdr:rowOff>88900</xdr:rowOff>
    </xdr:from>
    <xdr:ext cx="9258300" cy="623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0</xdr:row>
      <xdr:rowOff>76200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25005-E65D-3D49-B9A7-6664F56F2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5</xdr:row>
      <xdr:rowOff>25400</xdr:rowOff>
    </xdr:from>
    <xdr:to>
      <xdr:col>8</xdr:col>
      <xdr:colOff>25400</xdr:colOff>
      <xdr:row>18</xdr:row>
      <xdr:rowOff>52668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9A494-D8E8-525F-BEB5-747299D2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435100"/>
          <a:ext cx="8953500" cy="3164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fabric/data-science/automated-machine-learning-fabri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A21" sqref="A21"/>
    </sheetView>
  </sheetViews>
  <sheetFormatPr baseColWidth="10" defaultColWidth="8.83203125" defaultRowHeight="19" x14ac:dyDescent="0.25"/>
  <cols>
    <col min="1" max="1" width="56.6640625" style="2" customWidth="1"/>
    <col min="2" max="2" width="88.83203125" style="1" bestFit="1" customWidth="1"/>
    <col min="3" max="3" width="82.6640625" style="1" customWidth="1"/>
    <col min="4" max="4" width="38" style="1" customWidth="1"/>
    <col min="5" max="5" width="22" style="1" customWidth="1"/>
    <col min="6" max="6" width="16" style="1" customWidth="1"/>
    <col min="7" max="7" width="19" style="1" customWidth="1"/>
    <col min="8" max="8" width="21" style="1" customWidth="1"/>
    <col min="9" max="9" width="26" style="1" customWidth="1"/>
    <col min="10" max="10" width="7" style="1" customWidth="1"/>
    <col min="11" max="11" width="24" style="1" customWidth="1"/>
    <col min="12" max="12" width="35" style="1" customWidth="1"/>
    <col min="13" max="13" width="36" style="1" customWidth="1"/>
    <col min="14" max="14" width="25" style="1" customWidth="1"/>
    <col min="15" max="15" width="44" style="1" customWidth="1"/>
    <col min="16" max="16" width="12" style="1" customWidth="1"/>
    <col min="17" max="16384" width="8.83203125" style="1"/>
  </cols>
  <sheetData>
    <row r="1" spans="1:16" ht="59" customHeight="1" thickBot="1" x14ac:dyDescent="0.3">
      <c r="A1" s="8"/>
      <c r="B1" s="10" t="s">
        <v>171</v>
      </c>
      <c r="C1" s="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6" t="s">
        <v>144</v>
      </c>
      <c r="B2" s="7" t="s">
        <v>147</v>
      </c>
      <c r="C2" s="7"/>
    </row>
    <row r="3" spans="1:16" x14ac:dyDescent="0.25">
      <c r="A3" s="6"/>
      <c r="B3" s="7"/>
      <c r="C3" s="7"/>
    </row>
    <row r="4" spans="1:16" x14ac:dyDescent="0.25">
      <c r="A4" s="6" t="s">
        <v>143</v>
      </c>
      <c r="B4" s="7" t="s">
        <v>147</v>
      </c>
      <c r="C4" s="7"/>
    </row>
    <row r="5" spans="1:16" x14ac:dyDescent="0.25">
      <c r="A5" s="6"/>
      <c r="B5" s="7"/>
      <c r="C5" s="7"/>
    </row>
    <row r="6" spans="1:16" x14ac:dyDescent="0.25">
      <c r="A6" s="6" t="s">
        <v>145</v>
      </c>
      <c r="B6" s="7" t="s">
        <v>147</v>
      </c>
      <c r="C6" s="7"/>
    </row>
    <row r="7" spans="1:16" x14ac:dyDescent="0.25">
      <c r="A7" s="6"/>
      <c r="B7" s="7"/>
      <c r="C7" s="7"/>
    </row>
    <row r="8" spans="1:16" x14ac:dyDescent="0.25">
      <c r="A8" s="6" t="s">
        <v>149</v>
      </c>
      <c r="B8" s="7" t="s">
        <v>148</v>
      </c>
      <c r="C8" s="7"/>
    </row>
    <row r="9" spans="1:16" x14ac:dyDescent="0.25">
      <c r="A9" s="6"/>
      <c r="B9" s="7"/>
      <c r="C9" s="7"/>
    </row>
    <row r="10" spans="1:16" x14ac:dyDescent="0.25">
      <c r="A10" s="6" t="s">
        <v>86</v>
      </c>
      <c r="B10" s="7" t="s">
        <v>146</v>
      </c>
      <c r="C10" s="7"/>
    </row>
    <row r="11" spans="1:16" x14ac:dyDescent="0.25">
      <c r="A11" s="4"/>
      <c r="B11" s="5"/>
      <c r="C11" s="5"/>
    </row>
    <row r="12" spans="1:16" x14ac:dyDescent="0.25">
      <c r="A12" s="4" t="s">
        <v>85</v>
      </c>
      <c r="B12" s="5" t="s">
        <v>0</v>
      </c>
      <c r="C12" s="5" t="s">
        <v>87</v>
      </c>
    </row>
    <row r="13" spans="1:16" x14ac:dyDescent="0.25">
      <c r="A13" s="4"/>
      <c r="B13" s="5"/>
      <c r="C13" s="5"/>
    </row>
    <row r="14" spans="1:16" x14ac:dyDescent="0.25">
      <c r="A14" s="4" t="s">
        <v>155</v>
      </c>
      <c r="B14" s="5" t="s">
        <v>156</v>
      </c>
      <c r="C14" s="5"/>
    </row>
    <row r="15" spans="1:16" x14ac:dyDescent="0.25">
      <c r="A15" s="4"/>
      <c r="B15" s="5"/>
      <c r="C15" s="5"/>
    </row>
    <row r="16" spans="1:16" x14ac:dyDescent="0.25">
      <c r="A16" s="4" t="s">
        <v>150</v>
      </c>
      <c r="B16" s="5" t="s">
        <v>153</v>
      </c>
      <c r="C16" s="5"/>
    </row>
    <row r="17" spans="1:3" x14ac:dyDescent="0.25">
      <c r="A17" s="4"/>
      <c r="B17" s="5"/>
      <c r="C17" s="5"/>
    </row>
    <row r="18" spans="1:3" x14ac:dyDescent="0.25">
      <c r="A18" s="4" t="s">
        <v>151</v>
      </c>
      <c r="B18" s="5" t="s">
        <v>152</v>
      </c>
      <c r="C18" s="5"/>
    </row>
    <row r="19" spans="1:3" x14ac:dyDescent="0.25">
      <c r="A19" s="4"/>
      <c r="B19" s="5"/>
      <c r="C19" s="5"/>
    </row>
    <row r="20" spans="1:3" x14ac:dyDescent="0.25">
      <c r="A20" s="4" t="s">
        <v>1</v>
      </c>
      <c r="B20" s="5" t="s">
        <v>154</v>
      </c>
      <c r="C20" s="5"/>
    </row>
    <row r="21" spans="1:3" x14ac:dyDescent="0.25">
      <c r="A21" s="4"/>
      <c r="B21" s="5"/>
      <c r="C21" s="5"/>
    </row>
    <row r="22" spans="1:3" x14ac:dyDescent="0.25">
      <c r="A22" s="4" t="s">
        <v>2</v>
      </c>
      <c r="B22" s="5" t="s">
        <v>32</v>
      </c>
      <c r="C22" s="5"/>
    </row>
    <row r="23" spans="1:3" x14ac:dyDescent="0.25">
      <c r="A23" s="4"/>
      <c r="B23" s="5" t="s">
        <v>3</v>
      </c>
      <c r="C23" s="5"/>
    </row>
    <row r="24" spans="1:3" x14ac:dyDescent="0.25">
      <c r="A24" s="4"/>
      <c r="B24" s="5" t="s">
        <v>4</v>
      </c>
      <c r="C24" s="5"/>
    </row>
    <row r="25" spans="1:3" x14ac:dyDescent="0.25">
      <c r="A25" s="4"/>
      <c r="B25" s="5" t="s">
        <v>5</v>
      </c>
      <c r="C25" s="5"/>
    </row>
    <row r="26" spans="1:3" x14ac:dyDescent="0.25">
      <c r="A26" s="4"/>
      <c r="B26" s="5" t="s">
        <v>6</v>
      </c>
      <c r="C26" s="5"/>
    </row>
    <row r="27" spans="1:3" x14ac:dyDescent="0.25">
      <c r="A27" s="4"/>
      <c r="B27" s="5" t="s">
        <v>7</v>
      </c>
      <c r="C27" s="5"/>
    </row>
    <row r="28" spans="1:3" x14ac:dyDescent="0.25">
      <c r="A28" s="4"/>
      <c r="B28" s="5" t="s">
        <v>8</v>
      </c>
      <c r="C28" s="5"/>
    </row>
    <row r="29" spans="1:3" x14ac:dyDescent="0.25">
      <c r="A29" s="4"/>
      <c r="B29" s="5" t="s">
        <v>51</v>
      </c>
      <c r="C29" s="5"/>
    </row>
    <row r="30" spans="1:3" x14ac:dyDescent="0.25">
      <c r="A30" s="4"/>
      <c r="B30" s="5" t="s">
        <v>49</v>
      </c>
      <c r="C30" s="5"/>
    </row>
    <row r="31" spans="1:3" x14ac:dyDescent="0.25">
      <c r="A31" s="4"/>
      <c r="B31" s="5" t="s">
        <v>9</v>
      </c>
      <c r="C31" s="5"/>
    </row>
    <row r="32" spans="1:3" x14ac:dyDescent="0.25">
      <c r="A32" s="4"/>
      <c r="B32" s="5" t="s">
        <v>10</v>
      </c>
      <c r="C32" s="5"/>
    </row>
    <row r="33" spans="1:3" x14ac:dyDescent="0.25">
      <c r="A33" s="4"/>
      <c r="B33" s="5" t="s">
        <v>98</v>
      </c>
      <c r="C33" s="5"/>
    </row>
    <row r="34" spans="1:3" x14ac:dyDescent="0.25">
      <c r="A34" s="4"/>
      <c r="B34" s="5" t="s">
        <v>97</v>
      </c>
      <c r="C34" s="5"/>
    </row>
    <row r="35" spans="1:3" x14ac:dyDescent="0.25">
      <c r="A35" s="4"/>
      <c r="B35" s="5" t="s">
        <v>13</v>
      </c>
      <c r="C35" s="5"/>
    </row>
    <row r="36" spans="1:3" x14ac:dyDescent="0.25">
      <c r="A36" s="4"/>
      <c r="B36" s="5" t="s">
        <v>20</v>
      </c>
      <c r="C36" s="5"/>
    </row>
    <row r="37" spans="1:3" x14ac:dyDescent="0.25">
      <c r="A37" s="4"/>
      <c r="B37" s="5"/>
      <c r="C37" s="5"/>
    </row>
    <row r="38" spans="1:3" x14ac:dyDescent="0.25">
      <c r="A38" s="4" t="s">
        <v>14</v>
      </c>
      <c r="B38" s="5" t="s">
        <v>15</v>
      </c>
      <c r="C38" s="5" t="s">
        <v>16</v>
      </c>
    </row>
    <row r="39" spans="1:3" x14ac:dyDescent="0.25">
      <c r="A39" s="4"/>
      <c r="B39" s="5" t="s">
        <v>21</v>
      </c>
      <c r="C39" s="5" t="s">
        <v>89</v>
      </c>
    </row>
    <row r="40" spans="1:3" x14ac:dyDescent="0.25">
      <c r="A40" s="4"/>
      <c r="B40" s="5" t="s">
        <v>22</v>
      </c>
      <c r="C40" s="5" t="s">
        <v>88</v>
      </c>
    </row>
    <row r="41" spans="1:3" x14ac:dyDescent="0.25">
      <c r="A41" s="4"/>
      <c r="B41" s="5" t="s">
        <v>93</v>
      </c>
      <c r="C41" s="5" t="s">
        <v>94</v>
      </c>
    </row>
    <row r="42" spans="1:3" x14ac:dyDescent="0.25">
      <c r="A42" s="4"/>
      <c r="B42" s="5" t="s">
        <v>91</v>
      </c>
      <c r="C42" s="5" t="s">
        <v>92</v>
      </c>
    </row>
    <row r="43" spans="1:3" x14ac:dyDescent="0.25">
      <c r="A43" s="4"/>
      <c r="B43" s="5" t="s">
        <v>95</v>
      </c>
      <c r="C43" s="5" t="s">
        <v>96</v>
      </c>
    </row>
    <row r="44" spans="1:3" x14ac:dyDescent="0.25">
      <c r="A44" s="4"/>
      <c r="B44" s="5" t="s">
        <v>100</v>
      </c>
      <c r="C44" s="5" t="s">
        <v>101</v>
      </c>
    </row>
    <row r="45" spans="1:3" x14ac:dyDescent="0.25">
      <c r="A45" s="4"/>
      <c r="B45" s="5" t="s">
        <v>23</v>
      </c>
      <c r="C45" s="5" t="s">
        <v>90</v>
      </c>
    </row>
    <row r="46" spans="1:3" x14ac:dyDescent="0.25">
      <c r="A46" s="4"/>
      <c r="B46" s="5" t="s">
        <v>17</v>
      </c>
      <c r="C46" s="5" t="s">
        <v>18</v>
      </c>
    </row>
    <row r="47" spans="1:3" x14ac:dyDescent="0.25">
      <c r="A47" s="4"/>
      <c r="B47" s="5" t="s">
        <v>99</v>
      </c>
      <c r="C47" s="5" t="s">
        <v>19</v>
      </c>
    </row>
    <row r="48" spans="1:3" x14ac:dyDescent="0.25">
      <c r="A48" s="4"/>
      <c r="B48" s="5"/>
      <c r="C48" s="5"/>
    </row>
    <row r="49" spans="1:3" x14ac:dyDescent="0.25">
      <c r="A49" s="4" t="s">
        <v>24</v>
      </c>
      <c r="B49" s="21" t="s">
        <v>25</v>
      </c>
      <c r="C49" s="5"/>
    </row>
  </sheetData>
  <hyperlinks>
    <hyperlink ref="B49" r:id="rId1" xr:uid="{677AD73E-5AD0-5B4D-8BC5-31514B5988B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38" customWidth="1"/>
    <col min="2" max="2" width="19" customWidth="1"/>
    <col min="3" max="4" width="20" customWidth="1"/>
    <col min="5" max="5" width="19" customWidth="1"/>
    <col min="6" max="6" width="26.33203125" customWidth="1"/>
  </cols>
  <sheetData>
    <row r="1" spans="1:6" ht="36" customHeight="1" x14ac:dyDescent="0.2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</row>
    <row r="2" spans="1:6" ht="19" x14ac:dyDescent="0.2">
      <c r="A2" s="13" t="s">
        <v>32</v>
      </c>
      <c r="B2" s="13" t="s">
        <v>72</v>
      </c>
      <c r="C2" s="13">
        <v>8.6831164936618604E-2</v>
      </c>
      <c r="D2" s="13">
        <v>8.6831164936618604E-2</v>
      </c>
      <c r="E2" s="13">
        <v>1.7601563930511399</v>
      </c>
      <c r="F2" s="13" t="s">
        <v>33</v>
      </c>
    </row>
    <row r="3" spans="1:6" ht="19" x14ac:dyDescent="0.2">
      <c r="A3" s="13" t="s">
        <v>34</v>
      </c>
      <c r="B3" s="13" t="s">
        <v>35</v>
      </c>
      <c r="C3" s="13">
        <v>0.11739294975995999</v>
      </c>
      <c r="D3" s="13">
        <v>0.11739294975995999</v>
      </c>
      <c r="E3" s="13">
        <v>9.4191410541534406</v>
      </c>
      <c r="F3" s="13" t="s">
        <v>36</v>
      </c>
    </row>
    <row r="4" spans="1:6" ht="19" x14ac:dyDescent="0.2">
      <c r="A4" s="13" t="s">
        <v>3</v>
      </c>
      <c r="B4" s="13" t="s">
        <v>37</v>
      </c>
      <c r="C4" s="13">
        <v>0.11357311904430301</v>
      </c>
      <c r="D4" s="13">
        <v>0.11357311904430301</v>
      </c>
      <c r="E4" s="13">
        <v>5.6763503551483101</v>
      </c>
      <c r="F4" s="13" t="s">
        <v>36</v>
      </c>
    </row>
    <row r="5" spans="1:6" ht="19" x14ac:dyDescent="0.2">
      <c r="A5" s="14" t="s">
        <v>20</v>
      </c>
      <c r="B5" s="13" t="s">
        <v>38</v>
      </c>
      <c r="C5" s="13">
        <v>0.987250840663909</v>
      </c>
      <c r="D5" s="13">
        <v>0.987250840663909</v>
      </c>
      <c r="E5" s="13">
        <v>1.66914081573486</v>
      </c>
      <c r="F5" s="13" t="s">
        <v>39</v>
      </c>
    </row>
    <row r="6" spans="1:6" ht="19" x14ac:dyDescent="0.2">
      <c r="A6" s="13" t="s">
        <v>8</v>
      </c>
      <c r="B6" s="13" t="s">
        <v>40</v>
      </c>
      <c r="C6" s="13">
        <v>0.25409968237115599</v>
      </c>
      <c r="D6" s="13">
        <v>0.25409968237115599</v>
      </c>
      <c r="E6" s="13">
        <v>21.528878927230799</v>
      </c>
      <c r="F6" s="13" t="s">
        <v>41</v>
      </c>
    </row>
    <row r="7" spans="1:6" ht="19" x14ac:dyDescent="0.2">
      <c r="A7" s="13" t="s">
        <v>11</v>
      </c>
      <c r="B7" s="13" t="s">
        <v>42</v>
      </c>
      <c r="C7" s="13">
        <v>0.143514396635706</v>
      </c>
      <c r="D7" s="13">
        <v>0.143514396635706</v>
      </c>
      <c r="E7" s="13">
        <v>0.45052576065063399</v>
      </c>
      <c r="F7" s="13" t="s">
        <v>36</v>
      </c>
    </row>
    <row r="8" spans="1:6" ht="19" x14ac:dyDescent="0.2">
      <c r="A8" s="13" t="s">
        <v>12</v>
      </c>
      <c r="B8" s="13" t="s">
        <v>43</v>
      </c>
      <c r="C8" s="13">
        <v>0.124812760895072</v>
      </c>
      <c r="D8" s="13">
        <v>0.124812760895072</v>
      </c>
      <c r="E8" s="13">
        <v>0.47530174255370999</v>
      </c>
      <c r="F8" s="13" t="s">
        <v>36</v>
      </c>
    </row>
    <row r="9" spans="1:6" ht="19" x14ac:dyDescent="0.2">
      <c r="A9" s="13" t="s">
        <v>5</v>
      </c>
      <c r="B9" s="13" t="s">
        <v>44</v>
      </c>
      <c r="C9" s="13">
        <v>0.11396296510977801</v>
      </c>
      <c r="D9" s="13">
        <v>0.11396296510977801</v>
      </c>
      <c r="E9" s="13">
        <v>1.9707460403442301</v>
      </c>
      <c r="F9" s="13" t="s">
        <v>36</v>
      </c>
    </row>
    <row r="10" spans="1:6" ht="19" x14ac:dyDescent="0.2">
      <c r="A10" s="13" t="s">
        <v>9</v>
      </c>
      <c r="B10" s="13" t="s">
        <v>45</v>
      </c>
      <c r="C10" s="13">
        <v>8.5156032299737507</v>
      </c>
      <c r="D10" s="13">
        <v>8.5156032299737507</v>
      </c>
      <c r="E10" s="13">
        <v>285.10319995880099</v>
      </c>
      <c r="F10" s="13" t="s">
        <v>39</v>
      </c>
    </row>
    <row r="11" spans="1:6" ht="19" x14ac:dyDescent="0.2">
      <c r="A11" s="13" t="s">
        <v>10</v>
      </c>
      <c r="B11" s="13" t="s">
        <v>46</v>
      </c>
      <c r="C11" s="13">
        <v>0.183556695485323</v>
      </c>
      <c r="D11" s="13">
        <v>0.183556695485323</v>
      </c>
      <c r="E11" s="13">
        <v>0.45389533042907698</v>
      </c>
      <c r="F11" s="13" t="s">
        <v>36</v>
      </c>
    </row>
    <row r="12" spans="1:6" ht="19" x14ac:dyDescent="0.2">
      <c r="A12" s="13" t="s">
        <v>47</v>
      </c>
      <c r="B12" s="13" t="s">
        <v>48</v>
      </c>
      <c r="C12" s="13">
        <v>0.118458530638341</v>
      </c>
      <c r="D12" s="13">
        <v>0.118458530638341</v>
      </c>
      <c r="E12" s="13">
        <v>1.3439817428588801</v>
      </c>
      <c r="F12" s="13" t="s">
        <v>36</v>
      </c>
    </row>
    <row r="13" spans="1:6" ht="19" x14ac:dyDescent="0.2">
      <c r="A13" s="13" t="s">
        <v>49</v>
      </c>
      <c r="B13" s="13" t="s">
        <v>50</v>
      </c>
      <c r="C13" s="13">
        <v>0.28354014589913701</v>
      </c>
      <c r="D13" s="13">
        <v>0.28354014589913701</v>
      </c>
      <c r="E13" s="13">
        <v>1.5183689594268699</v>
      </c>
      <c r="F13" s="13" t="s">
        <v>41</v>
      </c>
    </row>
    <row r="14" spans="1:6" ht="19" x14ac:dyDescent="0.2">
      <c r="A14" s="13" t="s">
        <v>51</v>
      </c>
      <c r="B14" s="13" t="s">
        <v>52</v>
      </c>
      <c r="C14" s="13">
        <v>0.109037397756027</v>
      </c>
      <c r="D14" s="13">
        <v>0.109037397756027</v>
      </c>
      <c r="E14" s="13">
        <v>0.68037438392639105</v>
      </c>
      <c r="F14" s="13" t="s">
        <v>36</v>
      </c>
    </row>
    <row r="15" spans="1:6" ht="19" x14ac:dyDescent="0.2">
      <c r="A15" s="13" t="s">
        <v>13</v>
      </c>
      <c r="B15" s="13" t="s">
        <v>53</v>
      </c>
      <c r="C15" s="13">
        <v>0.124812760895072</v>
      </c>
      <c r="D15" s="13">
        <v>0.124812760895072</v>
      </c>
      <c r="E15" s="13">
        <v>0.369354248046875</v>
      </c>
      <c r="F15" s="13" t="s">
        <v>36</v>
      </c>
    </row>
    <row r="16" spans="1:6" ht="19" x14ac:dyDescent="0.2">
      <c r="A16" s="13" t="s">
        <v>7</v>
      </c>
      <c r="B16" s="13" t="s">
        <v>54</v>
      </c>
      <c r="C16" s="13">
        <v>1.3268861840783901</v>
      </c>
      <c r="D16" s="13">
        <v>1.3268861840783901</v>
      </c>
      <c r="E16" s="13">
        <v>11.4494364261627</v>
      </c>
      <c r="F16" s="13" t="s">
        <v>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EAB7-D880-FD4E-8F6E-1DDE35B5D1AA}">
  <dimension ref="A1:C13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23.6640625" customWidth="1"/>
    <col min="2" max="2" width="25.33203125" bestFit="1" customWidth="1"/>
    <col min="3" max="3" width="30" bestFit="1" customWidth="1"/>
  </cols>
  <sheetData>
    <row r="1" spans="1:3" ht="35" customHeight="1" x14ac:dyDescent="0.2">
      <c r="A1" s="22" t="s">
        <v>170</v>
      </c>
      <c r="B1" s="22" t="s">
        <v>157</v>
      </c>
      <c r="C1" s="22" t="s">
        <v>158</v>
      </c>
    </row>
    <row r="2" spans="1:3" ht="19" x14ac:dyDescent="0.2">
      <c r="A2" s="23">
        <v>45658</v>
      </c>
      <c r="B2" s="13">
        <v>26342870</v>
      </c>
      <c r="C2" s="13" t="s">
        <v>159</v>
      </c>
    </row>
    <row r="3" spans="1:3" ht="19" x14ac:dyDescent="0.2">
      <c r="A3" s="23">
        <v>45689</v>
      </c>
      <c r="B3" s="13">
        <v>25011560</v>
      </c>
      <c r="C3" s="13" t="s">
        <v>160</v>
      </c>
    </row>
    <row r="4" spans="1:3" ht="19" x14ac:dyDescent="0.2">
      <c r="A4" s="23">
        <v>45717</v>
      </c>
      <c r="B4" s="13">
        <v>29395250</v>
      </c>
      <c r="C4" s="13" t="s">
        <v>161</v>
      </c>
    </row>
    <row r="5" spans="1:3" ht="19" x14ac:dyDescent="0.2">
      <c r="A5" s="23">
        <v>45748</v>
      </c>
      <c r="B5" s="13">
        <v>26803810</v>
      </c>
      <c r="C5" s="13" t="s">
        <v>162</v>
      </c>
    </row>
    <row r="6" spans="1:3" ht="19" x14ac:dyDescent="0.2">
      <c r="A6" s="23">
        <v>45778</v>
      </c>
      <c r="B6" s="13">
        <v>25009210</v>
      </c>
      <c r="C6" s="13" t="s">
        <v>163</v>
      </c>
    </row>
    <row r="7" spans="1:3" ht="19" x14ac:dyDescent="0.2">
      <c r="A7" s="23">
        <v>45809</v>
      </c>
      <c r="B7" s="13">
        <v>29055430</v>
      </c>
      <c r="C7" s="13" t="s">
        <v>164</v>
      </c>
    </row>
    <row r="8" spans="1:3" ht="19" x14ac:dyDescent="0.2">
      <c r="A8" s="23">
        <v>45839</v>
      </c>
      <c r="B8" s="13">
        <v>28890970</v>
      </c>
      <c r="C8" s="13" t="s">
        <v>165</v>
      </c>
    </row>
    <row r="9" spans="1:3" ht="19" x14ac:dyDescent="0.2">
      <c r="A9" s="23">
        <v>45870</v>
      </c>
      <c r="B9" s="13">
        <v>28317040</v>
      </c>
      <c r="C9" s="13" t="s">
        <v>166</v>
      </c>
    </row>
    <row r="10" spans="1:3" ht="19" x14ac:dyDescent="0.2">
      <c r="A10" s="23">
        <v>45901</v>
      </c>
      <c r="B10" s="13">
        <v>25762730</v>
      </c>
      <c r="C10" s="13" t="s">
        <v>167</v>
      </c>
    </row>
    <row r="11" spans="1:3" ht="19" x14ac:dyDescent="0.2">
      <c r="A11" s="23">
        <v>45931</v>
      </c>
      <c r="B11" s="13">
        <v>28160890</v>
      </c>
      <c r="C11" s="13" t="s">
        <v>168</v>
      </c>
    </row>
    <row r="12" spans="1:3" ht="19" x14ac:dyDescent="0.2">
      <c r="A12" s="23">
        <v>45962</v>
      </c>
      <c r="B12" s="13">
        <v>27739170</v>
      </c>
      <c r="C12" s="13" t="s">
        <v>169</v>
      </c>
    </row>
    <row r="13" spans="1:3" ht="19" x14ac:dyDescent="0.2">
      <c r="A13" s="23">
        <v>45992</v>
      </c>
      <c r="B13" s="13">
        <v>18733590</v>
      </c>
      <c r="C13" s="24">
        <v>18733590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selection activeCell="J19" sqref="J19"/>
    </sheetView>
  </sheetViews>
  <sheetFormatPr baseColWidth="10" defaultColWidth="8.83203125" defaultRowHeight="19" x14ac:dyDescent="0.25"/>
  <cols>
    <col min="1" max="1" width="21.83203125" style="1" bestFit="1" customWidth="1"/>
    <col min="2" max="2" width="9.1640625" style="1" customWidth="1"/>
    <col min="3" max="4" width="14" style="1" bestFit="1" customWidth="1"/>
    <col min="5" max="5" width="16" style="1" bestFit="1" customWidth="1"/>
    <col min="6" max="6" width="16.83203125" style="1" bestFit="1" customWidth="1"/>
    <col min="7" max="7" width="14.1640625" style="1" bestFit="1" customWidth="1"/>
    <col min="8" max="8" width="14.5" style="1" bestFit="1" customWidth="1"/>
    <col min="9" max="9" width="12.5" style="1" bestFit="1" customWidth="1"/>
    <col min="10" max="10" width="5" style="1" bestFit="1" customWidth="1"/>
    <col min="11" max="11" width="25.6640625" style="1" bestFit="1" customWidth="1"/>
    <col min="12" max="12" width="23" style="1" customWidth="1"/>
    <col min="13" max="13" width="14" style="1" customWidth="1"/>
    <col min="14" max="14" width="11.33203125" style="1" bestFit="1" customWidth="1"/>
    <col min="15" max="15" width="13" style="1" customWidth="1"/>
    <col min="16" max="16" width="14.33203125" style="1" bestFit="1" customWidth="1"/>
    <col min="17" max="18" width="13.6640625" style="1" bestFit="1" customWidth="1"/>
    <col min="19" max="19" width="13" style="1" bestFit="1" customWidth="1"/>
    <col min="20" max="16384" width="8.83203125" style="1"/>
  </cols>
  <sheetData>
    <row r="1" spans="1:19" ht="35" customHeight="1" x14ac:dyDescent="0.25">
      <c r="A1" s="15" t="s">
        <v>55</v>
      </c>
      <c r="B1" s="15" t="s">
        <v>56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102</v>
      </c>
      <c r="I1" s="15" t="s">
        <v>63</v>
      </c>
      <c r="J1" s="15" t="s">
        <v>62</v>
      </c>
      <c r="K1" s="15" t="s">
        <v>64</v>
      </c>
      <c r="L1" s="15" t="s">
        <v>65</v>
      </c>
      <c r="M1" s="15" t="s">
        <v>66</v>
      </c>
      <c r="N1" s="15" t="s">
        <v>67</v>
      </c>
      <c r="O1" s="15" t="s">
        <v>81</v>
      </c>
      <c r="P1" s="15" t="s">
        <v>82</v>
      </c>
      <c r="Q1" s="15" t="s">
        <v>74</v>
      </c>
      <c r="R1" s="15" t="s">
        <v>103</v>
      </c>
      <c r="S1" s="15" t="s">
        <v>68</v>
      </c>
    </row>
    <row r="2" spans="1:19" s="16" customFormat="1" x14ac:dyDescent="0.2">
      <c r="A2" s="14">
        <v>8.6831164936618604E-2</v>
      </c>
      <c r="B2" s="14">
        <v>0.3266</v>
      </c>
      <c r="C2" s="14">
        <v>8.6831164936618604E-2</v>
      </c>
      <c r="D2" s="14">
        <v>1.7601563930511399</v>
      </c>
      <c r="E2" s="14">
        <v>8.6831164936618604E-2</v>
      </c>
      <c r="F2" s="14">
        <v>541.37175703048695</v>
      </c>
      <c r="G2" s="14">
        <v>4</v>
      </c>
      <c r="H2" s="14">
        <v>0.77012048600000005</v>
      </c>
      <c r="I2" s="14">
        <v>4</v>
      </c>
      <c r="J2" s="14">
        <v>23</v>
      </c>
      <c r="K2" s="14">
        <v>2</v>
      </c>
      <c r="L2" s="14">
        <v>1</v>
      </c>
      <c r="M2" s="14" t="b">
        <v>0</v>
      </c>
      <c r="N2" s="14" t="s">
        <v>72</v>
      </c>
      <c r="O2" s="14" t="s">
        <v>69</v>
      </c>
      <c r="P2" s="14" t="s">
        <v>70</v>
      </c>
      <c r="Q2" s="14" t="s">
        <v>71</v>
      </c>
      <c r="R2" s="14" t="s">
        <v>72</v>
      </c>
      <c r="S2" s="14">
        <v>96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topLeftCell="L1" workbookViewId="0">
      <selection activeCell="Q13" sqref="Q13"/>
    </sheetView>
  </sheetViews>
  <sheetFormatPr baseColWidth="10" defaultColWidth="8.83203125" defaultRowHeight="19" x14ac:dyDescent="0.25"/>
  <cols>
    <col min="1" max="1" width="22" style="1" customWidth="1"/>
    <col min="2" max="2" width="18.6640625" style="1" customWidth="1"/>
    <col min="3" max="5" width="18" style="1" customWidth="1"/>
    <col min="6" max="6" width="17" style="1" customWidth="1"/>
    <col min="7" max="7" width="13" style="1" bestFit="1" customWidth="1"/>
    <col min="8" max="8" width="15.33203125" style="1" bestFit="1" customWidth="1"/>
    <col min="9" max="9" width="16" style="1" customWidth="1"/>
    <col min="10" max="10" width="12.33203125" style="1" bestFit="1" customWidth="1"/>
    <col min="11" max="11" width="18.6640625" style="1" bestFit="1" customWidth="1"/>
    <col min="12" max="13" width="20.6640625" style="1" bestFit="1" customWidth="1"/>
    <col min="14" max="14" width="18.83203125" style="1" bestFit="1" customWidth="1"/>
    <col min="15" max="15" width="14" style="1" customWidth="1"/>
    <col min="16" max="16" width="24" style="1" customWidth="1"/>
    <col min="17" max="17" width="23" style="1" customWidth="1"/>
    <col min="18" max="18" width="25.6640625" style="1" bestFit="1" customWidth="1"/>
    <col min="19" max="19" width="23" style="1" bestFit="1" customWidth="1"/>
    <col min="20" max="20" width="14" style="1" bestFit="1" customWidth="1"/>
    <col min="21" max="21" width="12.5" style="1" bestFit="1" customWidth="1"/>
    <col min="22" max="22" width="14.33203125" style="1" bestFit="1" customWidth="1"/>
    <col min="23" max="23" width="13.6640625" style="1" bestFit="1" customWidth="1"/>
    <col min="24" max="16384" width="8.83203125" style="1"/>
  </cols>
  <sheetData>
    <row r="1" spans="1:23" ht="32" customHeight="1" x14ac:dyDescent="0.25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61</v>
      </c>
      <c r="J1" s="15" t="s">
        <v>104</v>
      </c>
      <c r="K1" s="15" t="s">
        <v>105</v>
      </c>
      <c r="L1" s="15" t="s">
        <v>106</v>
      </c>
      <c r="M1" s="15" t="s">
        <v>107</v>
      </c>
      <c r="N1" s="15" t="s">
        <v>108</v>
      </c>
      <c r="O1" s="15" t="s">
        <v>109</v>
      </c>
      <c r="P1" s="15" t="s">
        <v>110</v>
      </c>
      <c r="Q1" s="15" t="s">
        <v>62</v>
      </c>
      <c r="R1" s="15" t="s">
        <v>64</v>
      </c>
      <c r="S1" s="15" t="s">
        <v>65</v>
      </c>
      <c r="T1" s="15" t="s">
        <v>66</v>
      </c>
      <c r="U1" s="15" t="s">
        <v>81</v>
      </c>
      <c r="V1" s="15" t="s">
        <v>82</v>
      </c>
      <c r="W1" s="15" t="s">
        <v>74</v>
      </c>
    </row>
    <row r="2" spans="1:23" s="16" customFormat="1" x14ac:dyDescent="0.2">
      <c r="A2" s="14">
        <v>0.11739294975995999</v>
      </c>
      <c r="B2" s="14">
        <v>14</v>
      </c>
      <c r="C2" s="14">
        <v>0.11739294975995999</v>
      </c>
      <c r="D2" s="14">
        <v>9.4191410541534406</v>
      </c>
      <c r="E2" s="14">
        <v>0.11739294975995999</v>
      </c>
      <c r="F2" s="14">
        <v>355.65989112853998</v>
      </c>
      <c r="G2" s="14">
        <v>96</v>
      </c>
      <c r="H2" s="17" t="s">
        <v>35</v>
      </c>
      <c r="I2" s="14">
        <v>10</v>
      </c>
      <c r="J2" s="14">
        <v>6</v>
      </c>
      <c r="K2" s="14">
        <v>1</v>
      </c>
      <c r="L2" s="14">
        <v>0.3</v>
      </c>
      <c r="M2" s="14">
        <v>1</v>
      </c>
      <c r="N2" s="14">
        <v>1</v>
      </c>
      <c r="O2" s="14">
        <v>9.7656299999999995E-4</v>
      </c>
      <c r="P2" s="14">
        <v>1</v>
      </c>
      <c r="Q2" s="14">
        <v>12</v>
      </c>
      <c r="R2" s="14">
        <v>4</v>
      </c>
      <c r="S2" s="14">
        <v>1</v>
      </c>
      <c r="T2" s="14" t="b">
        <v>0</v>
      </c>
      <c r="U2" s="14" t="s">
        <v>84</v>
      </c>
      <c r="V2" s="14" t="s">
        <v>70</v>
      </c>
      <c r="W2" s="14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topLeftCell="O1" workbookViewId="0">
      <selection activeCell="S1" sqref="S1:X2"/>
    </sheetView>
  </sheetViews>
  <sheetFormatPr baseColWidth="10" defaultColWidth="8.83203125" defaultRowHeight="19" x14ac:dyDescent="0.25"/>
  <cols>
    <col min="1" max="1" width="21.83203125" style="1" bestFit="1" customWidth="1"/>
    <col min="2" max="2" width="13.5" style="1" bestFit="1" customWidth="1"/>
    <col min="3" max="4" width="14" style="1" bestFit="1" customWidth="1"/>
    <col min="5" max="5" width="16" style="1" bestFit="1" customWidth="1"/>
    <col min="6" max="6" width="16.83203125" style="1" bestFit="1" customWidth="1"/>
    <col min="7" max="7" width="13" style="1" bestFit="1" customWidth="1"/>
    <col min="8" max="8" width="8.5" style="1" bestFit="1" customWidth="1"/>
    <col min="9" max="9" width="14.1640625" style="1" bestFit="1" customWidth="1"/>
    <col min="10" max="10" width="12.5" style="1" bestFit="1" customWidth="1"/>
    <col min="11" max="11" width="19" style="1" bestFit="1" customWidth="1"/>
    <col min="12" max="12" width="14.33203125" style="1" bestFit="1" customWidth="1"/>
    <col min="13" max="13" width="11.83203125" style="1" bestFit="1" customWidth="1"/>
    <col min="14" max="14" width="19.33203125" style="1" bestFit="1" customWidth="1"/>
    <col min="15" max="15" width="18.83203125" style="1" bestFit="1" customWidth="1"/>
    <col min="16" max="16" width="14" style="1" bestFit="1" customWidth="1"/>
    <col min="17" max="17" width="12.83203125" style="1" bestFit="1" customWidth="1"/>
    <col min="18" max="18" width="5" style="1" bestFit="1" customWidth="1"/>
    <col min="19" max="19" width="25.6640625" style="1" bestFit="1" customWidth="1"/>
    <col min="20" max="20" width="23" style="1" bestFit="1" customWidth="1"/>
    <col min="21" max="21" width="14" style="1" bestFit="1" customWidth="1"/>
    <col min="22" max="22" width="12.5" style="1" bestFit="1" customWidth="1"/>
    <col min="23" max="23" width="14.33203125" style="1" bestFit="1" customWidth="1"/>
    <col min="24" max="24" width="13.6640625" style="1" bestFit="1" customWidth="1"/>
    <col min="25" max="16384" width="8.83203125" style="1"/>
  </cols>
  <sheetData>
    <row r="1" spans="1:24" ht="32" customHeight="1" x14ac:dyDescent="0.25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61</v>
      </c>
      <c r="J1" s="15" t="s">
        <v>63</v>
      </c>
      <c r="K1" s="15" t="s">
        <v>111</v>
      </c>
      <c r="L1" s="15" t="s">
        <v>106</v>
      </c>
      <c r="M1" s="15" t="s">
        <v>107</v>
      </c>
      <c r="N1" s="15" t="s">
        <v>112</v>
      </c>
      <c r="O1" s="15" t="s">
        <v>108</v>
      </c>
      <c r="P1" s="15" t="s">
        <v>109</v>
      </c>
      <c r="Q1" s="15" t="s">
        <v>110</v>
      </c>
      <c r="R1" s="15" t="s">
        <v>62</v>
      </c>
      <c r="S1" s="15" t="s">
        <v>64</v>
      </c>
      <c r="T1" s="15" t="s">
        <v>65</v>
      </c>
      <c r="U1" s="15" t="s">
        <v>66</v>
      </c>
      <c r="V1" s="15" t="s">
        <v>81</v>
      </c>
      <c r="W1" s="15" t="s">
        <v>82</v>
      </c>
      <c r="X1" s="15" t="s">
        <v>74</v>
      </c>
    </row>
    <row r="2" spans="1:24" x14ac:dyDescent="0.25">
      <c r="A2" s="14">
        <v>0.11357311904430301</v>
      </c>
      <c r="B2" s="14">
        <v>13</v>
      </c>
      <c r="C2" s="14">
        <v>0.11357311904430301</v>
      </c>
      <c r="D2" s="14">
        <v>5.6763503551483101</v>
      </c>
      <c r="E2" s="14">
        <v>0.11357311904430301</v>
      </c>
      <c r="F2" s="14">
        <v>346.24160742759699</v>
      </c>
      <c r="G2" s="14">
        <v>96</v>
      </c>
      <c r="H2" s="14" t="s">
        <v>37</v>
      </c>
      <c r="I2" s="14">
        <v>4</v>
      </c>
      <c r="J2" s="14">
        <v>4</v>
      </c>
      <c r="K2" s="14">
        <v>1</v>
      </c>
      <c r="L2" s="14">
        <v>0.1</v>
      </c>
      <c r="M2" s="14">
        <v>1</v>
      </c>
      <c r="N2" s="14">
        <v>1</v>
      </c>
      <c r="O2" s="14">
        <v>1</v>
      </c>
      <c r="P2" s="14">
        <v>9.7656299999999995E-4</v>
      </c>
      <c r="Q2" s="5">
        <v>1</v>
      </c>
      <c r="R2" s="14">
        <v>12</v>
      </c>
      <c r="S2" s="14">
        <v>4</v>
      </c>
      <c r="T2" s="14">
        <v>1</v>
      </c>
      <c r="U2" s="14" t="b">
        <v>0</v>
      </c>
      <c r="V2" s="14" t="s">
        <v>75</v>
      </c>
      <c r="W2" s="14" t="s">
        <v>70</v>
      </c>
      <c r="X2" s="14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workbookViewId="0">
      <selection activeCell="N6" sqref="N6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9" customWidth="1"/>
    <col min="4" max="4" width="18" customWidth="1"/>
    <col min="5" max="5" width="19" customWidth="1"/>
    <col min="6" max="6" width="18" customWidth="1"/>
    <col min="7" max="7" width="21" customWidth="1"/>
    <col min="8" max="8" width="9" customWidth="1"/>
    <col min="9" max="9" width="12" customWidth="1"/>
    <col min="10" max="10" width="13.83203125" bestFit="1" customWidth="1"/>
    <col min="11" max="11" width="13" customWidth="1"/>
    <col min="12" max="12" width="9" customWidth="1"/>
    <col min="13" max="13" width="15" customWidth="1"/>
    <col min="14" max="14" width="22" customWidth="1"/>
    <col min="15" max="15" width="16" customWidth="1"/>
    <col min="16" max="16" width="15" customWidth="1"/>
  </cols>
  <sheetData>
    <row r="1" spans="1:16" ht="32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113</v>
      </c>
      <c r="J1" s="15" t="s">
        <v>114</v>
      </c>
      <c r="K1" s="15" t="s">
        <v>115</v>
      </c>
      <c r="L1" s="15" t="s">
        <v>116</v>
      </c>
      <c r="M1" s="15" t="s">
        <v>106</v>
      </c>
      <c r="N1" s="15" t="s">
        <v>82</v>
      </c>
      <c r="O1" s="15" t="s">
        <v>74</v>
      </c>
      <c r="P1" s="15" t="s">
        <v>83</v>
      </c>
    </row>
    <row r="2" spans="1:16" s="18" customFormat="1" ht="19" x14ac:dyDescent="0.2">
      <c r="A2" s="14">
        <v>0.987250840663909</v>
      </c>
      <c r="B2" s="14">
        <v>12</v>
      </c>
      <c r="C2" s="14">
        <v>0.987250840663909</v>
      </c>
      <c r="D2" s="14">
        <v>1.66914081573486</v>
      </c>
      <c r="E2" s="14">
        <v>0.987250840663909</v>
      </c>
      <c r="F2" s="14">
        <v>340.57762479782099</v>
      </c>
      <c r="G2" s="14">
        <v>96</v>
      </c>
      <c r="H2" s="14" t="s">
        <v>38</v>
      </c>
      <c r="I2" s="14">
        <v>4</v>
      </c>
      <c r="J2" s="14">
        <v>5</v>
      </c>
      <c r="K2" s="14">
        <v>3</v>
      </c>
      <c r="L2" s="14">
        <v>0.1</v>
      </c>
      <c r="M2" s="14">
        <v>1E-3</v>
      </c>
      <c r="N2" s="14" t="s">
        <v>70</v>
      </c>
      <c r="O2" s="14" t="s">
        <v>71</v>
      </c>
      <c r="P2" s="14" t="s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"/>
  <sheetViews>
    <sheetView topLeftCell="G1" workbookViewId="0">
      <selection activeCell="P1" sqref="P1:V2"/>
    </sheetView>
  </sheetViews>
  <sheetFormatPr baseColWidth="10" defaultColWidth="8.83203125" defaultRowHeight="15" x14ac:dyDescent="0.2"/>
  <cols>
    <col min="1" max="1" width="21.83203125" bestFit="1" customWidth="1"/>
    <col min="2" max="2" width="13.5" bestFit="1" customWidth="1"/>
    <col min="3" max="4" width="14" bestFit="1" customWidth="1"/>
    <col min="5" max="5" width="16" bestFit="1" customWidth="1"/>
    <col min="6" max="6" width="16.83203125" bestFit="1" customWidth="1"/>
    <col min="7" max="7" width="13" bestFit="1" customWidth="1"/>
    <col min="8" max="8" width="8.5" bestFit="1" customWidth="1"/>
    <col min="9" max="9" width="3.5" bestFit="1" customWidth="1"/>
    <col min="10" max="10" width="2.5" bestFit="1" customWidth="1"/>
    <col min="11" max="11" width="3.5" bestFit="1" customWidth="1"/>
    <col min="12" max="12" width="2.33203125" bestFit="1" customWidth="1"/>
    <col min="13" max="13" width="2.6640625" bestFit="1" customWidth="1"/>
    <col min="14" max="14" width="2.83203125" bestFit="1" customWidth="1"/>
    <col min="15" max="15" width="3.5" bestFit="1" customWidth="1"/>
    <col min="16" max="16" width="25.6640625" bestFit="1" customWidth="1"/>
    <col min="17" max="17" width="23" bestFit="1" customWidth="1"/>
    <col min="18" max="18" width="14" bestFit="1" customWidth="1"/>
    <col min="19" max="19" width="12.5" bestFit="1" customWidth="1"/>
    <col min="20" max="20" width="14.33203125" bestFit="1" customWidth="1"/>
    <col min="21" max="21" width="13.6640625" bestFit="1" customWidth="1"/>
    <col min="22" max="22" width="18.6640625" bestFit="1" customWidth="1"/>
  </cols>
  <sheetData>
    <row r="1" spans="1:22" ht="31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78</v>
      </c>
      <c r="J1" s="15" t="s">
        <v>79</v>
      </c>
      <c r="K1" s="15" t="s">
        <v>80</v>
      </c>
      <c r="L1" s="15" t="s">
        <v>117</v>
      </c>
      <c r="M1" s="15" t="s">
        <v>118</v>
      </c>
      <c r="N1" s="15" t="s">
        <v>119</v>
      </c>
      <c r="O1" s="15" t="s">
        <v>120</v>
      </c>
      <c r="P1" s="15" t="s">
        <v>64</v>
      </c>
      <c r="Q1" s="15" t="s">
        <v>65</v>
      </c>
      <c r="R1" s="15" t="s">
        <v>66</v>
      </c>
      <c r="S1" s="15" t="s">
        <v>81</v>
      </c>
      <c r="T1" s="15" t="s">
        <v>82</v>
      </c>
      <c r="U1" s="15" t="s">
        <v>74</v>
      </c>
      <c r="V1" s="15" t="s">
        <v>83</v>
      </c>
    </row>
    <row r="2" spans="1:22" s="18" customFormat="1" ht="19" x14ac:dyDescent="0.2">
      <c r="A2" s="14">
        <v>0.25409968237115599</v>
      </c>
      <c r="B2" s="14">
        <v>11</v>
      </c>
      <c r="C2" s="14">
        <v>0.25409968237115599</v>
      </c>
      <c r="D2" s="14">
        <v>21.528878927230799</v>
      </c>
      <c r="E2" s="14">
        <v>0.25409968237115599</v>
      </c>
      <c r="F2" s="14">
        <v>338.69592714309601</v>
      </c>
      <c r="G2" s="14">
        <v>96</v>
      </c>
      <c r="H2" s="14" t="s">
        <v>40</v>
      </c>
      <c r="I2" s="14">
        <v>11</v>
      </c>
      <c r="J2" s="14">
        <v>0</v>
      </c>
      <c r="K2" s="14">
        <v>11</v>
      </c>
      <c r="L2" s="14">
        <v>3</v>
      </c>
      <c r="M2" s="14">
        <v>0</v>
      </c>
      <c r="N2" s="14">
        <v>3</v>
      </c>
      <c r="O2" s="14">
        <v>12</v>
      </c>
      <c r="P2" s="14">
        <v>4</v>
      </c>
      <c r="Q2" s="14">
        <v>1</v>
      </c>
      <c r="R2" s="14" t="b">
        <v>0</v>
      </c>
      <c r="S2" s="14" t="s">
        <v>84</v>
      </c>
      <c r="T2" s="14" t="s">
        <v>70</v>
      </c>
      <c r="U2" s="14" t="s">
        <v>84</v>
      </c>
      <c r="V2" s="14" t="s">
        <v>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topLeftCell="E1" workbookViewId="0">
      <selection activeCell="O8" sqref="O8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5" width="19" customWidth="1"/>
    <col min="6" max="6" width="18" customWidth="1"/>
    <col min="7" max="7" width="21" customWidth="1"/>
    <col min="8" max="8" width="9" customWidth="1"/>
    <col min="9" max="9" width="9.1640625" customWidth="1"/>
    <col min="10" max="10" width="25.6640625" bestFit="1" customWidth="1"/>
    <col min="11" max="11" width="23" customWidth="1"/>
    <col min="12" max="13" width="14" customWidth="1"/>
    <col min="14" max="14" width="16" customWidth="1"/>
    <col min="15" max="15" width="15" customWidth="1"/>
    <col min="16" max="16" width="18.6640625" bestFit="1" customWidth="1"/>
  </cols>
  <sheetData>
    <row r="1" spans="1:16" ht="32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122</v>
      </c>
      <c r="J1" s="15" t="s">
        <v>64</v>
      </c>
      <c r="K1" s="15" t="s">
        <v>65</v>
      </c>
      <c r="L1" s="15" t="s">
        <v>66</v>
      </c>
      <c r="M1" s="15" t="s">
        <v>81</v>
      </c>
      <c r="N1" s="15" t="s">
        <v>82</v>
      </c>
      <c r="O1" s="15" t="s">
        <v>74</v>
      </c>
      <c r="P1" s="15" t="s">
        <v>83</v>
      </c>
    </row>
    <row r="2" spans="1:16" s="18" customFormat="1" ht="19" x14ac:dyDescent="0.2">
      <c r="A2" s="14">
        <v>0.143514396635706</v>
      </c>
      <c r="B2" s="14">
        <v>10</v>
      </c>
      <c r="C2" s="14">
        <v>0.143514396635706</v>
      </c>
      <c r="D2" s="14">
        <v>0.45052576065063399</v>
      </c>
      <c r="E2" s="14">
        <v>0.143514396635706</v>
      </c>
      <c r="F2" s="14">
        <v>317.38476085662802</v>
      </c>
      <c r="G2" s="14">
        <v>96</v>
      </c>
      <c r="H2" s="14" t="s">
        <v>42</v>
      </c>
      <c r="I2" s="14">
        <v>12</v>
      </c>
      <c r="J2" s="14">
        <v>4</v>
      </c>
      <c r="K2" s="14">
        <v>1</v>
      </c>
      <c r="L2" s="14" t="b">
        <v>0</v>
      </c>
      <c r="M2" s="14" t="s">
        <v>75</v>
      </c>
      <c r="N2" s="14" t="s">
        <v>70</v>
      </c>
      <c r="O2" s="14" t="s">
        <v>84</v>
      </c>
      <c r="P2" s="14" t="s">
        <v>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"/>
  <sheetViews>
    <sheetView topLeftCell="C1" workbookViewId="0">
      <selection activeCell="I1" sqref="I1:O2"/>
    </sheetView>
  </sheetViews>
  <sheetFormatPr baseColWidth="10" defaultColWidth="8.83203125" defaultRowHeight="15" x14ac:dyDescent="0.2"/>
  <cols>
    <col min="1" max="1" width="21.83203125" bestFit="1" customWidth="1"/>
    <col min="2" max="2" width="13.5" bestFit="1" customWidth="1"/>
    <col min="3" max="4" width="14" bestFit="1" customWidth="1"/>
    <col min="5" max="5" width="16" bestFit="1" customWidth="1"/>
    <col min="6" max="6" width="16.83203125" bestFit="1" customWidth="1"/>
    <col min="7" max="7" width="13" bestFit="1" customWidth="1"/>
    <col min="8" max="8" width="8.1640625" bestFit="1" customWidth="1"/>
    <col min="9" max="9" width="25.6640625" bestFit="1" customWidth="1"/>
    <col min="10" max="10" width="23" bestFit="1" customWidth="1"/>
    <col min="11" max="11" width="14" bestFit="1" customWidth="1"/>
    <col min="12" max="12" width="12.5" bestFit="1" customWidth="1"/>
    <col min="13" max="13" width="14.33203125" bestFit="1" customWidth="1"/>
    <col min="14" max="14" width="13.6640625" bestFit="1" customWidth="1"/>
    <col min="15" max="15" width="18.6640625" bestFit="1" customWidth="1"/>
  </cols>
  <sheetData>
    <row r="1" spans="1:15" ht="29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122</v>
      </c>
      <c r="I1" s="15" t="s">
        <v>64</v>
      </c>
      <c r="J1" s="15" t="s">
        <v>65</v>
      </c>
      <c r="K1" s="15" t="s">
        <v>66</v>
      </c>
      <c r="L1" s="15" t="s">
        <v>81</v>
      </c>
      <c r="M1" s="15" t="s">
        <v>82</v>
      </c>
      <c r="N1" s="15" t="s">
        <v>74</v>
      </c>
      <c r="O1" s="15" t="s">
        <v>83</v>
      </c>
    </row>
    <row r="2" spans="1:15" s="18" customFormat="1" ht="19" x14ac:dyDescent="0.2">
      <c r="A2" s="14">
        <v>0.124812760895072</v>
      </c>
      <c r="B2" s="14">
        <v>9</v>
      </c>
      <c r="C2" s="14">
        <v>0.124812760895072</v>
      </c>
      <c r="D2" s="14">
        <v>0.47530174255370999</v>
      </c>
      <c r="E2" s="14">
        <v>0.124812760895072</v>
      </c>
      <c r="F2" s="14">
        <v>316.93316698074301</v>
      </c>
      <c r="G2" s="14">
        <v>96</v>
      </c>
      <c r="H2" s="14">
        <v>12</v>
      </c>
      <c r="I2" s="14">
        <v>4</v>
      </c>
      <c r="J2" s="14">
        <v>1</v>
      </c>
      <c r="K2" s="14" t="b">
        <v>0</v>
      </c>
      <c r="L2" s="14" t="s">
        <v>75</v>
      </c>
      <c r="M2" s="14" t="s">
        <v>70</v>
      </c>
      <c r="N2" s="14" t="s">
        <v>71</v>
      </c>
      <c r="O2" s="14" t="s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"/>
  <sheetViews>
    <sheetView topLeftCell="F1" workbookViewId="0">
      <selection activeCell="M1" sqref="M1:R2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9" customWidth="1"/>
    <col min="4" max="4" width="18" customWidth="1"/>
    <col min="5" max="5" width="19" customWidth="1"/>
    <col min="6" max="6" width="18" customWidth="1"/>
    <col min="7" max="7" width="21" customWidth="1"/>
    <col min="8" max="8" width="14.1640625" bestFit="1" customWidth="1"/>
    <col min="9" max="9" width="14.1640625" customWidth="1"/>
    <col min="10" max="10" width="14.5" bestFit="1" customWidth="1"/>
    <col min="11" max="11" width="23" customWidth="1"/>
    <col min="12" max="12" width="14" customWidth="1"/>
    <col min="13" max="13" width="25.6640625" bestFit="1" customWidth="1"/>
    <col min="14" max="14" width="23" bestFit="1" customWidth="1"/>
    <col min="15" max="15" width="16" customWidth="1"/>
    <col min="16" max="16" width="15" customWidth="1"/>
    <col min="17" max="17" width="14.33203125" bestFit="1" customWidth="1"/>
    <col min="18" max="18" width="13.6640625" bestFit="1" customWidth="1"/>
  </cols>
  <sheetData>
    <row r="1" spans="1:18" ht="31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61</v>
      </c>
      <c r="J1" s="15" t="s">
        <v>102</v>
      </c>
      <c r="K1" s="15" t="s">
        <v>63</v>
      </c>
      <c r="L1" s="15" t="s">
        <v>62</v>
      </c>
      <c r="M1" s="15" t="s">
        <v>64</v>
      </c>
      <c r="N1" s="15" t="s">
        <v>65</v>
      </c>
      <c r="O1" s="15" t="s">
        <v>66</v>
      </c>
      <c r="P1" s="15" t="s">
        <v>81</v>
      </c>
      <c r="Q1" s="15" t="s">
        <v>82</v>
      </c>
      <c r="R1" s="15" t="s">
        <v>74</v>
      </c>
    </row>
    <row r="2" spans="1:18" s="18" customFormat="1" ht="19" x14ac:dyDescent="0.2">
      <c r="A2" s="14">
        <v>0.11396296510977801</v>
      </c>
      <c r="B2" s="14">
        <v>8</v>
      </c>
      <c r="C2" s="14">
        <v>0.11396296510977801</v>
      </c>
      <c r="D2" s="14">
        <v>1.9707460403442301</v>
      </c>
      <c r="E2" s="14">
        <v>0.11396296510977801</v>
      </c>
      <c r="F2" s="14">
        <v>316.45482206344599</v>
      </c>
      <c r="G2" s="14">
        <v>96</v>
      </c>
      <c r="H2" s="14" t="s">
        <v>44</v>
      </c>
      <c r="I2" s="14">
        <v>4</v>
      </c>
      <c r="J2" s="14">
        <v>1</v>
      </c>
      <c r="K2" s="14">
        <v>4</v>
      </c>
      <c r="L2" s="14">
        <v>12</v>
      </c>
      <c r="M2" s="14">
        <v>4</v>
      </c>
      <c r="N2" s="14">
        <v>1</v>
      </c>
      <c r="O2" s="14" t="b">
        <v>0</v>
      </c>
      <c r="P2" s="14" t="s">
        <v>69</v>
      </c>
      <c r="Q2" s="14" t="s">
        <v>70</v>
      </c>
      <c r="R2" s="14" t="s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"/>
  <sheetViews>
    <sheetView topLeftCell="I1" workbookViewId="0">
      <selection activeCell="Q11" sqref="Q11"/>
    </sheetView>
  </sheetViews>
  <sheetFormatPr baseColWidth="10" defaultColWidth="8.83203125" defaultRowHeight="19" x14ac:dyDescent="0.25"/>
  <cols>
    <col min="1" max="1" width="22" style="11" customWidth="1"/>
    <col min="2" max="2" width="14" style="11" customWidth="1"/>
    <col min="3" max="6" width="18" style="11" customWidth="1"/>
    <col min="7" max="7" width="21" style="11" customWidth="1"/>
    <col min="8" max="8" width="9" style="11" customWidth="1"/>
    <col min="9" max="9" width="26" style="11" bestFit="1" customWidth="1"/>
    <col min="10" max="10" width="25" style="11" customWidth="1"/>
    <col min="11" max="11" width="21.83203125" style="11" bestFit="1" customWidth="1"/>
    <col min="12" max="12" width="24" style="11" customWidth="1"/>
    <col min="13" max="13" width="25.6640625" style="11" bestFit="1" customWidth="1"/>
    <col min="14" max="14" width="23" style="11" bestFit="1" customWidth="1"/>
    <col min="15" max="15" width="14" style="11" customWidth="1"/>
    <col min="16" max="16" width="16" style="11" customWidth="1"/>
    <col min="17" max="17" width="15" style="11" customWidth="1"/>
    <col min="18" max="18" width="14" style="11" customWidth="1"/>
    <col min="19" max="19" width="16.1640625" style="11" customWidth="1"/>
    <col min="20" max="16384" width="8.83203125" style="11"/>
  </cols>
  <sheetData>
    <row r="1" spans="1:19" ht="36" customHeight="1" x14ac:dyDescent="0.25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124</v>
      </c>
      <c r="J1" s="15" t="s">
        <v>125</v>
      </c>
      <c r="K1" s="15" t="s">
        <v>126</v>
      </c>
      <c r="L1" s="15" t="s">
        <v>127</v>
      </c>
      <c r="M1" s="15" t="s">
        <v>64</v>
      </c>
      <c r="N1" s="15" t="s">
        <v>65</v>
      </c>
      <c r="O1" s="15" t="s">
        <v>66</v>
      </c>
      <c r="P1" s="15" t="s">
        <v>81</v>
      </c>
      <c r="Q1" s="15" t="s">
        <v>82</v>
      </c>
      <c r="R1" s="15" t="s">
        <v>74</v>
      </c>
      <c r="S1" s="15" t="s">
        <v>83</v>
      </c>
    </row>
    <row r="2" spans="1:19" s="19" customFormat="1" x14ac:dyDescent="0.2">
      <c r="A2" s="14">
        <v>8.5156032299737507</v>
      </c>
      <c r="B2" s="14">
        <v>7</v>
      </c>
      <c r="C2" s="14">
        <v>8.5156032299737507</v>
      </c>
      <c r="D2" s="14">
        <v>285.10319995880099</v>
      </c>
      <c r="E2" s="14">
        <v>8.5156032299737507</v>
      </c>
      <c r="F2" s="14">
        <v>314.47348427772499</v>
      </c>
      <c r="G2" s="14">
        <v>96</v>
      </c>
      <c r="H2" s="14" t="s">
        <v>45</v>
      </c>
      <c r="I2" s="14">
        <v>0.05</v>
      </c>
      <c r="J2" s="14">
        <v>10</v>
      </c>
      <c r="K2" s="14">
        <v>10</v>
      </c>
      <c r="L2" s="14" t="s">
        <v>76</v>
      </c>
      <c r="M2" s="14">
        <v>4</v>
      </c>
      <c r="N2" s="14">
        <v>1</v>
      </c>
      <c r="O2" s="14" t="b">
        <v>0</v>
      </c>
      <c r="P2" s="14" t="s">
        <v>84</v>
      </c>
      <c r="Q2" s="14" t="s">
        <v>70</v>
      </c>
      <c r="R2" s="14" t="s">
        <v>71</v>
      </c>
      <c r="S2" s="14" t="s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"/>
  <sheetViews>
    <sheetView topLeftCell="F1" workbookViewId="0">
      <selection activeCell="I1" sqref="I1:O2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5" width="19" customWidth="1"/>
    <col min="6" max="6" width="18" customWidth="1"/>
    <col min="7" max="7" width="20" customWidth="1"/>
    <col min="8" max="8" width="9" customWidth="1"/>
    <col min="9" max="9" width="25.6640625" bestFit="1" customWidth="1"/>
    <col min="10" max="10" width="23" customWidth="1"/>
    <col min="11" max="12" width="14" customWidth="1"/>
    <col min="13" max="13" width="16" customWidth="1"/>
    <col min="14" max="14" width="15" customWidth="1"/>
    <col min="15" max="15" width="14" customWidth="1"/>
  </cols>
  <sheetData>
    <row r="1" spans="1:15" ht="31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64</v>
      </c>
      <c r="J1" s="15" t="s">
        <v>65</v>
      </c>
      <c r="K1" s="15" t="s">
        <v>66</v>
      </c>
      <c r="L1" s="15" t="s">
        <v>81</v>
      </c>
      <c r="M1" s="15" t="s">
        <v>82</v>
      </c>
      <c r="N1" s="15" t="s">
        <v>74</v>
      </c>
      <c r="O1" s="15" t="s">
        <v>83</v>
      </c>
    </row>
    <row r="2" spans="1:15" s="18" customFormat="1" ht="19" x14ac:dyDescent="0.2">
      <c r="A2" s="14">
        <v>0.183556695485323</v>
      </c>
      <c r="B2" s="14">
        <v>6</v>
      </c>
      <c r="C2" s="14">
        <v>0.183556695485323</v>
      </c>
      <c r="D2" s="14">
        <v>0.45389533042907698</v>
      </c>
      <c r="E2" s="14">
        <v>0.183556695485323</v>
      </c>
      <c r="F2" s="14">
        <v>29.381187200546201</v>
      </c>
      <c r="G2" s="14">
        <v>96</v>
      </c>
      <c r="H2" s="14" t="s">
        <v>128</v>
      </c>
      <c r="I2" s="14">
        <v>4</v>
      </c>
      <c r="J2" s="14">
        <v>1</v>
      </c>
      <c r="K2" s="14" t="b">
        <v>0</v>
      </c>
      <c r="L2" s="14" t="s">
        <v>69</v>
      </c>
      <c r="M2" s="14" t="s">
        <v>70</v>
      </c>
      <c r="N2" s="14" t="s">
        <v>71</v>
      </c>
      <c r="O2" s="14" t="s">
        <v>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"/>
  <sheetViews>
    <sheetView topLeftCell="M1" workbookViewId="0">
      <selection activeCell="S13" sqref="S13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9" customWidth="1"/>
    <col min="4" max="4" width="18" customWidth="1"/>
    <col min="5" max="5" width="19" customWidth="1"/>
    <col min="6" max="6" width="18" customWidth="1"/>
    <col min="7" max="7" width="21" customWidth="1"/>
    <col min="8" max="8" width="9" customWidth="1"/>
    <col min="9" max="9" width="14" customWidth="1"/>
    <col min="10" max="10" width="16.83203125" customWidth="1"/>
    <col min="11" max="11" width="20" bestFit="1" customWidth="1"/>
    <col min="12" max="12" width="20" customWidth="1"/>
    <col min="13" max="13" width="18" customWidth="1"/>
    <col min="14" max="14" width="18.83203125" bestFit="1" customWidth="1"/>
    <col min="15" max="15" width="14" customWidth="1"/>
    <col min="16" max="16" width="24" customWidth="1"/>
    <col min="17" max="17" width="14" customWidth="1"/>
    <col min="18" max="18" width="25.6640625" bestFit="1" customWidth="1"/>
    <col min="19" max="19" width="23" bestFit="1" customWidth="1"/>
    <col min="20" max="20" width="14" bestFit="1" customWidth="1"/>
    <col min="21" max="21" width="12.5" bestFit="1" customWidth="1"/>
    <col min="22" max="22" width="14.33203125" bestFit="1" customWidth="1"/>
    <col min="23" max="23" width="13.6640625" bestFit="1" customWidth="1"/>
  </cols>
  <sheetData>
    <row r="1" spans="1:23" ht="38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61</v>
      </c>
      <c r="J1" s="15" t="s">
        <v>129</v>
      </c>
      <c r="K1" s="15" t="s">
        <v>130</v>
      </c>
      <c r="L1" s="15" t="s">
        <v>106</v>
      </c>
      <c r="M1" s="15" t="s">
        <v>131</v>
      </c>
      <c r="N1" s="15" t="s">
        <v>108</v>
      </c>
      <c r="O1" s="15" t="s">
        <v>109</v>
      </c>
      <c r="P1" s="15" t="s">
        <v>132</v>
      </c>
      <c r="Q1" s="15" t="s">
        <v>62</v>
      </c>
      <c r="R1" s="15" t="s">
        <v>64</v>
      </c>
      <c r="S1" s="15" t="s">
        <v>65</v>
      </c>
      <c r="T1" s="15" t="s">
        <v>66</v>
      </c>
      <c r="U1" s="15" t="s">
        <v>81</v>
      </c>
      <c r="V1" s="15" t="s">
        <v>82</v>
      </c>
      <c r="W1" s="15" t="s">
        <v>74</v>
      </c>
    </row>
    <row r="2" spans="1:23" s="18" customFormat="1" ht="19" x14ac:dyDescent="0.2">
      <c r="A2" s="14">
        <v>0.118458530638341</v>
      </c>
      <c r="B2" s="14">
        <v>5</v>
      </c>
      <c r="C2" s="14">
        <v>0.118458530638341</v>
      </c>
      <c r="D2" s="14">
        <v>1.3439817428588801</v>
      </c>
      <c r="E2" s="14">
        <v>0.118458530638341</v>
      </c>
      <c r="F2" s="14">
        <v>28.890312910079899</v>
      </c>
      <c r="G2" s="14">
        <v>96</v>
      </c>
      <c r="H2" s="14" t="s">
        <v>48</v>
      </c>
      <c r="I2" s="14">
        <v>4</v>
      </c>
      <c r="J2" s="14">
        <v>4</v>
      </c>
      <c r="K2" s="14">
        <v>20</v>
      </c>
      <c r="L2" s="14">
        <v>0.1</v>
      </c>
      <c r="M2" s="14">
        <v>8</v>
      </c>
      <c r="N2" s="14">
        <v>1</v>
      </c>
      <c r="O2" s="14">
        <v>9.7656299999999995E-4</v>
      </c>
      <c r="P2" s="14">
        <v>1</v>
      </c>
      <c r="Q2" s="14">
        <v>12</v>
      </c>
      <c r="R2" s="14">
        <v>4</v>
      </c>
      <c r="S2" s="14">
        <v>1</v>
      </c>
      <c r="T2" s="14" t="b">
        <v>0</v>
      </c>
      <c r="U2" s="14" t="s">
        <v>75</v>
      </c>
      <c r="V2" s="14" t="s">
        <v>70</v>
      </c>
      <c r="W2" s="14" t="s">
        <v>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"/>
  <sheetViews>
    <sheetView topLeftCell="F1" workbookViewId="0">
      <selection activeCell="G7" sqref="G7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9" customWidth="1"/>
    <col min="4" max="4" width="18" customWidth="1"/>
    <col min="5" max="5" width="19" customWidth="1"/>
    <col min="6" max="6" width="18" customWidth="1"/>
    <col min="7" max="7" width="21" customWidth="1"/>
    <col min="8" max="8" width="10.1640625" customWidth="1"/>
    <col min="9" max="9" width="11" customWidth="1"/>
    <col min="10" max="10" width="15" customWidth="1"/>
    <col min="11" max="11" width="16.5" customWidth="1"/>
    <col min="12" max="12" width="14.5" customWidth="1"/>
    <col min="13" max="13" width="25.6640625" bestFit="1" customWidth="1"/>
    <col min="14" max="14" width="23" customWidth="1"/>
    <col min="15" max="15" width="14" customWidth="1"/>
    <col min="16" max="16" width="16" customWidth="1"/>
    <col min="17" max="17" width="15" customWidth="1"/>
    <col min="18" max="18" width="14" customWidth="1"/>
    <col min="19" max="19" width="13.83203125" bestFit="1" customWidth="1"/>
  </cols>
  <sheetData>
    <row r="1" spans="1:19" ht="36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133</v>
      </c>
      <c r="J1" s="15" t="s">
        <v>134</v>
      </c>
      <c r="K1" s="15" t="s">
        <v>135</v>
      </c>
      <c r="L1" s="15" t="s">
        <v>62</v>
      </c>
      <c r="M1" s="15" t="s">
        <v>64</v>
      </c>
      <c r="N1" s="15" t="s">
        <v>65</v>
      </c>
      <c r="O1" s="15" t="s">
        <v>66</v>
      </c>
      <c r="P1" s="15" t="s">
        <v>81</v>
      </c>
      <c r="Q1" s="15" t="s">
        <v>82</v>
      </c>
      <c r="R1" s="15" t="s">
        <v>74</v>
      </c>
      <c r="S1" s="15" t="s">
        <v>83</v>
      </c>
    </row>
    <row r="2" spans="1:19" s="18" customFormat="1" ht="19" x14ac:dyDescent="0.2">
      <c r="A2" s="14">
        <v>0.28354014589913701</v>
      </c>
      <c r="B2" s="14">
        <v>4</v>
      </c>
      <c r="C2" s="14">
        <v>0.28354014589913701</v>
      </c>
      <c r="D2" s="14">
        <v>1.5183689594268699</v>
      </c>
      <c r="E2" s="14">
        <v>0.28354014589913701</v>
      </c>
      <c r="F2" s="14">
        <v>27.5385339260101</v>
      </c>
      <c r="G2" s="14">
        <v>96</v>
      </c>
      <c r="H2" s="14" t="s">
        <v>50</v>
      </c>
      <c r="I2" s="14">
        <v>0.1</v>
      </c>
      <c r="J2" s="14" t="b">
        <v>1</v>
      </c>
      <c r="K2" s="20">
        <v>2.2200000000000001E-16</v>
      </c>
      <c r="L2" s="14">
        <v>12</v>
      </c>
      <c r="M2" s="14">
        <v>4</v>
      </c>
      <c r="N2" s="14">
        <v>1</v>
      </c>
      <c r="O2" s="14" t="b">
        <v>0</v>
      </c>
      <c r="P2" s="14" t="s">
        <v>84</v>
      </c>
      <c r="Q2" s="14" t="s">
        <v>70</v>
      </c>
      <c r="R2" s="14" t="s">
        <v>71</v>
      </c>
      <c r="S2" s="14" t="s">
        <v>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"/>
  <sheetViews>
    <sheetView topLeftCell="I1" workbookViewId="0">
      <selection activeCell="K11" sqref="K11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5" width="19" customWidth="1"/>
    <col min="6" max="6" width="18" customWidth="1"/>
    <col min="7" max="7" width="21" customWidth="1"/>
    <col min="8" max="8" width="12.5" bestFit="1" customWidth="1"/>
    <col min="9" max="9" width="16" bestFit="1" customWidth="1"/>
    <col min="10" max="10" width="14" customWidth="1"/>
    <col min="11" max="11" width="12" customWidth="1"/>
    <col min="12" max="12" width="24" customWidth="1"/>
    <col min="13" max="13" width="23" customWidth="1"/>
    <col min="14" max="14" width="25.6640625" bestFit="1" customWidth="1"/>
    <col min="15" max="15" width="23" bestFit="1" customWidth="1"/>
    <col min="16" max="16" width="15" customWidth="1"/>
    <col min="17" max="17" width="14" customWidth="1"/>
    <col min="18" max="18" width="14.33203125" bestFit="1" customWidth="1"/>
    <col min="19" max="19" width="13.6640625" bestFit="1" customWidth="1"/>
    <col min="20" max="20" width="15" bestFit="1" customWidth="1"/>
  </cols>
  <sheetData>
    <row r="1" spans="1:20" ht="30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137</v>
      </c>
      <c r="J1" s="15" t="s">
        <v>138</v>
      </c>
      <c r="K1" s="15" t="s">
        <v>139</v>
      </c>
      <c r="L1" s="15" t="s">
        <v>140</v>
      </c>
      <c r="M1" s="15" t="s">
        <v>141</v>
      </c>
      <c r="N1" s="15" t="s">
        <v>64</v>
      </c>
      <c r="O1" s="15" t="s">
        <v>65</v>
      </c>
      <c r="P1" s="15" t="s">
        <v>66</v>
      </c>
      <c r="Q1" s="15" t="s">
        <v>81</v>
      </c>
      <c r="R1" s="15" t="s">
        <v>82</v>
      </c>
      <c r="S1" s="15" t="s">
        <v>74</v>
      </c>
      <c r="T1" s="15" t="s">
        <v>83</v>
      </c>
    </row>
    <row r="2" spans="1:20" s="18" customFormat="1" ht="19" x14ac:dyDescent="0.2">
      <c r="A2" s="14">
        <v>0.109037397756027</v>
      </c>
      <c r="B2" s="14">
        <v>3</v>
      </c>
      <c r="C2" s="14">
        <v>0.109037397756027</v>
      </c>
      <c r="D2" s="14">
        <v>0.68037438392639105</v>
      </c>
      <c r="E2" s="14">
        <v>0.109037397756027</v>
      </c>
      <c r="F2" s="14">
        <v>26.054514169692901</v>
      </c>
      <c r="G2" s="14">
        <v>96</v>
      </c>
      <c r="H2" s="14" t="s">
        <v>52</v>
      </c>
      <c r="I2" s="14" t="b">
        <v>0</v>
      </c>
      <c r="J2" s="14" t="s">
        <v>77</v>
      </c>
      <c r="K2" s="14" t="s">
        <v>77</v>
      </c>
      <c r="L2" s="14" t="b">
        <v>0</v>
      </c>
      <c r="M2" s="14">
        <v>7</v>
      </c>
      <c r="N2" s="14">
        <v>4</v>
      </c>
      <c r="O2" s="14">
        <v>1</v>
      </c>
      <c r="P2" s="14" t="b">
        <v>0</v>
      </c>
      <c r="Q2" s="14" t="s">
        <v>75</v>
      </c>
      <c r="R2" s="14" t="s">
        <v>70</v>
      </c>
      <c r="S2" s="14" t="s">
        <v>71</v>
      </c>
      <c r="T2" s="14" t="s">
        <v>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5" width="19" customWidth="1"/>
    <col min="6" max="6" width="18" customWidth="1"/>
    <col min="7" max="7" width="20" customWidth="1"/>
    <col min="8" max="8" width="9" customWidth="1"/>
    <col min="9" max="9" width="25.6640625" bestFit="1" customWidth="1"/>
    <col min="10" max="10" width="23" customWidth="1"/>
    <col min="11" max="12" width="14" customWidth="1"/>
    <col min="13" max="13" width="16" customWidth="1"/>
    <col min="14" max="14" width="15" customWidth="1"/>
    <col min="15" max="15" width="17.1640625" customWidth="1"/>
  </cols>
  <sheetData>
    <row r="1" spans="1:15" ht="29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64</v>
      </c>
      <c r="J1" s="15" t="s">
        <v>65</v>
      </c>
      <c r="K1" s="15" t="s">
        <v>66</v>
      </c>
      <c r="L1" s="15" t="s">
        <v>81</v>
      </c>
      <c r="M1" s="15" t="s">
        <v>82</v>
      </c>
      <c r="N1" s="15" t="s">
        <v>74</v>
      </c>
      <c r="O1" s="15" t="s">
        <v>83</v>
      </c>
    </row>
    <row r="2" spans="1:15" s="18" customFormat="1" ht="19" x14ac:dyDescent="0.2">
      <c r="A2" s="14">
        <v>0.124812760895072</v>
      </c>
      <c r="B2" s="14">
        <v>1</v>
      </c>
      <c r="C2" s="14">
        <v>0.124812760895072</v>
      </c>
      <c r="D2" s="14">
        <v>0.369354248046875</v>
      </c>
      <c r="E2" s="14">
        <v>0.124812760895072</v>
      </c>
      <c r="F2" s="14">
        <v>23.909461975097599</v>
      </c>
      <c r="G2" s="14">
        <v>96</v>
      </c>
      <c r="H2" s="14" t="s">
        <v>53</v>
      </c>
      <c r="I2" s="14">
        <v>4</v>
      </c>
      <c r="J2" s="14">
        <v>1</v>
      </c>
      <c r="K2" s="14" t="b">
        <v>0</v>
      </c>
      <c r="L2" s="14" t="s">
        <v>75</v>
      </c>
      <c r="M2" s="14" t="s">
        <v>70</v>
      </c>
      <c r="N2" s="14" t="s">
        <v>84</v>
      </c>
      <c r="O2" s="14" t="s">
        <v>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"/>
  <sheetViews>
    <sheetView workbookViewId="0">
      <selection activeCell="R12" sqref="R12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6" width="18" customWidth="1"/>
    <col min="7" max="7" width="21" customWidth="1"/>
    <col min="8" max="8" width="9" customWidth="1"/>
    <col min="9" max="9" width="7" customWidth="1"/>
    <col min="10" max="10" width="24" customWidth="1"/>
    <col min="11" max="11" width="14" customWidth="1"/>
    <col min="12" max="12" width="25.6640625" bestFit="1" customWidth="1"/>
    <col min="13" max="13" width="23" bestFit="1" customWidth="1"/>
    <col min="14" max="14" width="16" customWidth="1"/>
    <col min="15" max="15" width="15" customWidth="1"/>
    <col min="16" max="16" width="16.5" customWidth="1"/>
    <col min="17" max="17" width="13.6640625" bestFit="1" customWidth="1"/>
    <col min="18" max="18" width="13.33203125" bestFit="1" customWidth="1"/>
  </cols>
  <sheetData>
    <row r="1" spans="1:18" ht="32" customHeight="1" x14ac:dyDescent="0.2">
      <c r="A1" s="15" t="s">
        <v>55</v>
      </c>
      <c r="B1" s="15" t="s">
        <v>73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68</v>
      </c>
      <c r="H1" s="15" t="s">
        <v>67</v>
      </c>
      <c r="I1" s="15" t="s">
        <v>78</v>
      </c>
      <c r="J1" s="15" t="s">
        <v>79</v>
      </c>
      <c r="K1" s="15" t="s">
        <v>80</v>
      </c>
      <c r="L1" s="15" t="s">
        <v>64</v>
      </c>
      <c r="M1" s="15" t="s">
        <v>65</v>
      </c>
      <c r="N1" s="15" t="s">
        <v>66</v>
      </c>
      <c r="O1" s="15" t="s">
        <v>81</v>
      </c>
      <c r="P1" s="15" t="s">
        <v>82</v>
      </c>
      <c r="Q1" s="15" t="s">
        <v>74</v>
      </c>
      <c r="R1" s="15" t="s">
        <v>83</v>
      </c>
    </row>
    <row r="2" spans="1:18" s="18" customFormat="1" ht="19" x14ac:dyDescent="0.2">
      <c r="A2" s="14">
        <v>1.3268861840783901</v>
      </c>
      <c r="B2" s="14">
        <v>0</v>
      </c>
      <c r="C2" s="14">
        <v>1.3268861840783901</v>
      </c>
      <c r="D2" s="14">
        <v>11.4494364261627</v>
      </c>
      <c r="E2" s="14">
        <v>1.3268861840783901</v>
      </c>
      <c r="F2" s="14">
        <v>23.431382179260201</v>
      </c>
      <c r="G2" s="14">
        <v>96</v>
      </c>
      <c r="H2" s="14" t="s">
        <v>54</v>
      </c>
      <c r="I2" s="14">
        <v>12</v>
      </c>
      <c r="J2" s="14">
        <v>1</v>
      </c>
      <c r="K2" s="14">
        <v>12</v>
      </c>
      <c r="L2" s="14">
        <v>4</v>
      </c>
      <c r="M2" s="14">
        <v>1</v>
      </c>
      <c r="N2" s="14" t="b">
        <v>0</v>
      </c>
      <c r="O2" s="14" t="s">
        <v>75</v>
      </c>
      <c r="P2" s="14" t="s">
        <v>70</v>
      </c>
      <c r="Q2" s="14" t="s">
        <v>84</v>
      </c>
      <c r="R2" s="14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Model Comparison</vt:lpstr>
      <vt:lpstr>Forecast</vt:lpstr>
      <vt:lpstr>extra_tree</vt:lpstr>
      <vt:lpstr>xgb_limitdepth</vt:lpstr>
      <vt:lpstr>xgboost</vt:lpstr>
      <vt:lpstr>tcn</vt:lpstr>
      <vt:lpstr>sarimax</vt:lpstr>
      <vt:lpstr>snaive</vt:lpstr>
      <vt:lpstr>savg</vt:lpstr>
      <vt:lpstr>rf</vt:lpstr>
      <vt:lpstr>prophet</vt:lpstr>
      <vt:lpstr>naive</vt:lpstr>
      <vt:lpstr>lgbm</vt:lpstr>
      <vt:lpstr>lassolars</vt:lpstr>
      <vt:lpstr>holt-winters</vt:lpstr>
      <vt:lpstr>avg</vt:lpstr>
      <vt:lpstr>arima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nmalsabah1@gmail.com</cp:lastModifiedBy>
  <dcterms:created xsi:type="dcterms:W3CDTF">2025-07-12T18:23:40Z</dcterms:created>
  <dcterms:modified xsi:type="dcterms:W3CDTF">2025-07-12T22:57:38Z</dcterms:modified>
</cp:coreProperties>
</file>